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0076\Downloads\"/>
    </mc:Choice>
  </mc:AlternateContent>
  <xr:revisionPtr revIDLastSave="0" documentId="13_ncr:1_{F178C78F-C1BB-44AA-A1D8-E97B1C1C47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" sheetId="1" r:id="rId1"/>
  </sheets>
  <externalReferences>
    <externalReference r:id="rId2"/>
  </externalReferences>
  <definedNames>
    <definedName name="_xlnm._FilterDatabase" localSheetId="0" hidden="1">result!$A$1:$G$755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4" i="1" l="1"/>
  <c r="G702" i="1"/>
  <c r="G697" i="1"/>
  <c r="G652" i="1"/>
  <c r="G650" i="1"/>
  <c r="G649" i="1"/>
  <c r="G645" i="1"/>
  <c r="G641" i="1"/>
  <c r="G632" i="1"/>
  <c r="G581" i="1"/>
  <c r="G577" i="1"/>
  <c r="G564" i="1"/>
  <c r="G482" i="1"/>
  <c r="G481" i="1"/>
  <c r="G479" i="1"/>
  <c r="G449" i="1"/>
  <c r="G442" i="1"/>
  <c r="G441" i="1"/>
  <c r="G434" i="1"/>
  <c r="G422" i="1"/>
  <c r="G417" i="1"/>
  <c r="G372" i="1"/>
  <c r="G362" i="1"/>
  <c r="G361" i="1"/>
  <c r="G354" i="1"/>
  <c r="G253" i="1"/>
  <c r="G230" i="1"/>
  <c r="G229" i="1"/>
  <c r="G222" i="1"/>
  <c r="G155" i="1"/>
  <c r="G127" i="1"/>
  <c r="G92" i="1"/>
  <c r="G91" i="1"/>
  <c r="G29" i="1"/>
  <c r="G6" i="1"/>
  <c r="G4" i="1"/>
  <c r="G3" i="1"/>
  <c r="F719" i="1"/>
  <c r="G719" i="1" s="1"/>
  <c r="F716" i="1"/>
  <c r="G716" i="1" s="1"/>
  <c r="F715" i="1"/>
  <c r="G715" i="1" s="1"/>
  <c r="F712" i="1"/>
  <c r="G712" i="1" s="1"/>
  <c r="F678" i="1"/>
  <c r="G678" i="1" s="1"/>
  <c r="F674" i="1"/>
  <c r="G674" i="1" s="1"/>
  <c r="F671" i="1"/>
  <c r="G671" i="1" s="1"/>
  <c r="F649" i="1"/>
  <c r="F644" i="1"/>
  <c r="G644" i="1" s="1"/>
  <c r="F643" i="1"/>
  <c r="G643" i="1" s="1"/>
  <c r="F642" i="1"/>
  <c r="G642" i="1" s="1"/>
  <c r="F632" i="1"/>
  <c r="F631" i="1"/>
  <c r="G631" i="1" s="1"/>
  <c r="F610" i="1"/>
  <c r="G610" i="1" s="1"/>
  <c r="F607" i="1"/>
  <c r="G607" i="1" s="1"/>
  <c r="F606" i="1"/>
  <c r="G606" i="1" s="1"/>
  <c r="F603" i="1"/>
  <c r="G603" i="1" s="1"/>
  <c r="F593" i="1"/>
  <c r="G593" i="1" s="1"/>
  <c r="F591" i="1"/>
  <c r="G591" i="1" s="1"/>
  <c r="F590" i="1"/>
  <c r="G590" i="1" s="1"/>
  <c r="F566" i="1"/>
  <c r="G566" i="1" s="1"/>
  <c r="F564" i="1"/>
  <c r="F561" i="1"/>
  <c r="G561" i="1" s="1"/>
  <c r="F553" i="1"/>
  <c r="G553" i="1" s="1"/>
  <c r="F552" i="1"/>
  <c r="G552" i="1" s="1"/>
  <c r="F550" i="1"/>
  <c r="G550" i="1" s="1"/>
  <c r="F510" i="1"/>
  <c r="G510" i="1" s="1"/>
  <c r="F508" i="1"/>
  <c r="G508" i="1" s="1"/>
  <c r="F503" i="1"/>
  <c r="G503" i="1" s="1"/>
  <c r="F498" i="1"/>
  <c r="G498" i="1" s="1"/>
  <c r="F470" i="1"/>
  <c r="G470" i="1" s="1"/>
  <c r="F469" i="1"/>
  <c r="G469" i="1" s="1"/>
  <c r="F461" i="1"/>
  <c r="G461" i="1" s="1"/>
  <c r="F460" i="1"/>
  <c r="G460" i="1" s="1"/>
  <c r="F454" i="1"/>
  <c r="G454" i="1" s="1"/>
  <c r="F437" i="1"/>
  <c r="G437" i="1" s="1"/>
  <c r="F435" i="1"/>
  <c r="G435" i="1" s="1"/>
  <c r="F422" i="1"/>
  <c r="F421" i="1"/>
  <c r="G421" i="1" s="1"/>
  <c r="F418" i="1"/>
  <c r="G418" i="1" s="1"/>
  <c r="F398" i="1"/>
  <c r="G398" i="1" s="1"/>
  <c r="F384" i="1"/>
  <c r="G384" i="1" s="1"/>
  <c r="F383" i="1"/>
  <c r="G383" i="1" s="1"/>
  <c r="F382" i="1"/>
  <c r="G382" i="1" s="1"/>
  <c r="F381" i="1"/>
  <c r="G381" i="1" s="1"/>
  <c r="F349" i="1"/>
  <c r="G349" i="1" s="1"/>
  <c r="F348" i="1"/>
  <c r="G348" i="1" s="1"/>
  <c r="F338" i="1"/>
  <c r="G338" i="1" s="1"/>
  <c r="F337" i="1"/>
  <c r="G337" i="1" s="1"/>
  <c r="F309" i="1"/>
  <c r="G309" i="1" s="1"/>
  <c r="F302" i="1"/>
  <c r="G302" i="1" s="1"/>
  <c r="F273" i="1"/>
  <c r="G273" i="1" s="1"/>
  <c r="F271" i="1"/>
  <c r="G271" i="1" s="1"/>
  <c r="F266" i="1"/>
  <c r="G266" i="1" s="1"/>
  <c r="F265" i="1"/>
  <c r="G265" i="1" s="1"/>
  <c r="F256" i="1"/>
  <c r="G256" i="1" s="1"/>
  <c r="F239" i="1"/>
  <c r="G239" i="1" s="1"/>
  <c r="F227" i="1"/>
  <c r="G227" i="1" s="1"/>
  <c r="F218" i="1"/>
  <c r="G218" i="1" s="1"/>
  <c r="F217" i="1"/>
  <c r="G217" i="1" s="1"/>
  <c r="F196" i="1"/>
  <c r="G196" i="1" s="1"/>
  <c r="F183" i="1"/>
  <c r="G183" i="1" s="1"/>
  <c r="F181" i="1"/>
  <c r="G181" i="1" s="1"/>
  <c r="F180" i="1"/>
  <c r="G180" i="1" s="1"/>
  <c r="F179" i="1"/>
  <c r="G179" i="1" s="1"/>
  <c r="F146" i="1"/>
  <c r="G146" i="1" s="1"/>
  <c r="F145" i="1"/>
  <c r="G145" i="1" s="1"/>
  <c r="F142" i="1"/>
  <c r="G142" i="1" s="1"/>
  <c r="F115" i="1"/>
  <c r="G115" i="1" s="1"/>
  <c r="F99" i="1"/>
  <c r="G99" i="1" s="1"/>
  <c r="F97" i="1"/>
  <c r="G97" i="1" s="1"/>
  <c r="F92" i="1"/>
  <c r="F88" i="1"/>
  <c r="G88" i="1" s="1"/>
  <c r="F87" i="1"/>
  <c r="G87" i="1" s="1"/>
  <c r="F71" i="1"/>
  <c r="G71" i="1" s="1"/>
  <c r="F62" i="1"/>
  <c r="G62" i="1" s="1"/>
  <c r="F58" i="1"/>
  <c r="G58" i="1" s="1"/>
  <c r="F57" i="1"/>
  <c r="G57" i="1" s="1"/>
  <c r="F42" i="1"/>
  <c r="G42" i="1" s="1"/>
  <c r="F27" i="1"/>
  <c r="G27" i="1" s="1"/>
  <c r="F26" i="1"/>
  <c r="G26" i="1" s="1"/>
  <c r="F25" i="1"/>
  <c r="G25" i="1" s="1"/>
  <c r="F6" i="1"/>
  <c r="E755" i="1"/>
  <c r="F755" i="1" s="1"/>
  <c r="G755" i="1" s="1"/>
  <c r="E754" i="1"/>
  <c r="F754" i="1" s="1"/>
  <c r="G754" i="1" s="1"/>
  <c r="E753" i="1"/>
  <c r="F753" i="1" s="1"/>
  <c r="G753" i="1" s="1"/>
  <c r="E752" i="1"/>
  <c r="F752" i="1" s="1"/>
  <c r="G752" i="1" s="1"/>
  <c r="E751" i="1"/>
  <c r="F751" i="1" s="1"/>
  <c r="G751" i="1" s="1"/>
  <c r="E750" i="1"/>
  <c r="F750" i="1" s="1"/>
  <c r="G750" i="1" s="1"/>
  <c r="E749" i="1"/>
  <c r="F749" i="1" s="1"/>
  <c r="G749" i="1" s="1"/>
  <c r="E748" i="1"/>
  <c r="F748" i="1" s="1"/>
  <c r="G748" i="1" s="1"/>
  <c r="E747" i="1"/>
  <c r="F747" i="1" s="1"/>
  <c r="G747" i="1" s="1"/>
  <c r="E746" i="1"/>
  <c r="F746" i="1" s="1"/>
  <c r="G746" i="1" s="1"/>
  <c r="E745" i="1"/>
  <c r="F745" i="1" s="1"/>
  <c r="G745" i="1" s="1"/>
  <c r="E744" i="1"/>
  <c r="F744" i="1" s="1"/>
  <c r="G744" i="1" s="1"/>
  <c r="E743" i="1"/>
  <c r="F743" i="1" s="1"/>
  <c r="G743" i="1" s="1"/>
  <c r="E742" i="1"/>
  <c r="F742" i="1" s="1"/>
  <c r="G742" i="1" s="1"/>
  <c r="E741" i="1"/>
  <c r="F741" i="1" s="1"/>
  <c r="G741" i="1" s="1"/>
  <c r="E740" i="1"/>
  <c r="F740" i="1" s="1"/>
  <c r="G740" i="1" s="1"/>
  <c r="E739" i="1"/>
  <c r="F739" i="1" s="1"/>
  <c r="G739" i="1" s="1"/>
  <c r="E738" i="1"/>
  <c r="F738" i="1" s="1"/>
  <c r="G738" i="1" s="1"/>
  <c r="E737" i="1"/>
  <c r="F737" i="1" s="1"/>
  <c r="G737" i="1" s="1"/>
  <c r="E736" i="1"/>
  <c r="F736" i="1" s="1"/>
  <c r="G736" i="1" s="1"/>
  <c r="E735" i="1"/>
  <c r="F735" i="1" s="1"/>
  <c r="G735" i="1" s="1"/>
  <c r="E734" i="1"/>
  <c r="F734" i="1" s="1"/>
  <c r="E733" i="1"/>
  <c r="F733" i="1" s="1"/>
  <c r="G733" i="1" s="1"/>
  <c r="E732" i="1"/>
  <c r="F732" i="1" s="1"/>
  <c r="G732" i="1" s="1"/>
  <c r="E731" i="1"/>
  <c r="F731" i="1" s="1"/>
  <c r="G731" i="1" s="1"/>
  <c r="E730" i="1"/>
  <c r="F730" i="1" s="1"/>
  <c r="G730" i="1" s="1"/>
  <c r="E729" i="1"/>
  <c r="F729" i="1" s="1"/>
  <c r="G729" i="1" s="1"/>
  <c r="E728" i="1"/>
  <c r="F728" i="1" s="1"/>
  <c r="G728" i="1" s="1"/>
  <c r="E727" i="1"/>
  <c r="F727" i="1" s="1"/>
  <c r="G727" i="1" s="1"/>
  <c r="E726" i="1"/>
  <c r="F726" i="1" s="1"/>
  <c r="G726" i="1" s="1"/>
  <c r="E725" i="1"/>
  <c r="F725" i="1" s="1"/>
  <c r="G725" i="1" s="1"/>
  <c r="E724" i="1"/>
  <c r="F724" i="1" s="1"/>
  <c r="G724" i="1" s="1"/>
  <c r="E723" i="1"/>
  <c r="F723" i="1" s="1"/>
  <c r="G723" i="1" s="1"/>
  <c r="E722" i="1"/>
  <c r="F722" i="1" s="1"/>
  <c r="G722" i="1" s="1"/>
  <c r="E721" i="1"/>
  <c r="F721" i="1" s="1"/>
  <c r="G721" i="1" s="1"/>
  <c r="E720" i="1"/>
  <c r="F720" i="1" s="1"/>
  <c r="G720" i="1" s="1"/>
  <c r="E719" i="1"/>
  <c r="E718" i="1"/>
  <c r="F718" i="1" s="1"/>
  <c r="G718" i="1" s="1"/>
  <c r="E717" i="1"/>
  <c r="F717" i="1" s="1"/>
  <c r="G717" i="1" s="1"/>
  <c r="E716" i="1"/>
  <c r="E715" i="1"/>
  <c r="E714" i="1"/>
  <c r="F714" i="1" s="1"/>
  <c r="G714" i="1" s="1"/>
  <c r="E713" i="1"/>
  <c r="F713" i="1" s="1"/>
  <c r="G713" i="1" s="1"/>
  <c r="E712" i="1"/>
  <c r="E711" i="1"/>
  <c r="F711" i="1" s="1"/>
  <c r="G711" i="1" s="1"/>
  <c r="E710" i="1"/>
  <c r="F710" i="1" s="1"/>
  <c r="G710" i="1" s="1"/>
  <c r="E709" i="1"/>
  <c r="F709" i="1" s="1"/>
  <c r="G709" i="1" s="1"/>
  <c r="E708" i="1"/>
  <c r="F708" i="1" s="1"/>
  <c r="G708" i="1" s="1"/>
  <c r="E707" i="1"/>
  <c r="F707" i="1" s="1"/>
  <c r="G707" i="1" s="1"/>
  <c r="E706" i="1"/>
  <c r="F706" i="1" s="1"/>
  <c r="G706" i="1" s="1"/>
  <c r="E705" i="1"/>
  <c r="F705" i="1" s="1"/>
  <c r="G705" i="1" s="1"/>
  <c r="E704" i="1"/>
  <c r="F704" i="1" s="1"/>
  <c r="G704" i="1" s="1"/>
  <c r="E703" i="1"/>
  <c r="F703" i="1" s="1"/>
  <c r="G703" i="1" s="1"/>
  <c r="E702" i="1"/>
  <c r="F702" i="1" s="1"/>
  <c r="E701" i="1"/>
  <c r="F701" i="1" s="1"/>
  <c r="G701" i="1" s="1"/>
  <c r="E700" i="1"/>
  <c r="F700" i="1" s="1"/>
  <c r="G700" i="1" s="1"/>
  <c r="E699" i="1"/>
  <c r="F699" i="1" s="1"/>
  <c r="G699" i="1" s="1"/>
  <c r="E698" i="1"/>
  <c r="F698" i="1" s="1"/>
  <c r="G698" i="1" s="1"/>
  <c r="E697" i="1"/>
  <c r="F697" i="1" s="1"/>
  <c r="E696" i="1"/>
  <c r="F696" i="1" s="1"/>
  <c r="G696" i="1" s="1"/>
  <c r="E695" i="1"/>
  <c r="F695" i="1" s="1"/>
  <c r="G695" i="1" s="1"/>
  <c r="E694" i="1"/>
  <c r="F694" i="1" s="1"/>
  <c r="G694" i="1" s="1"/>
  <c r="E693" i="1"/>
  <c r="F693" i="1" s="1"/>
  <c r="G693" i="1" s="1"/>
  <c r="E692" i="1"/>
  <c r="F692" i="1" s="1"/>
  <c r="G692" i="1" s="1"/>
  <c r="E691" i="1"/>
  <c r="F691" i="1" s="1"/>
  <c r="G691" i="1" s="1"/>
  <c r="E690" i="1"/>
  <c r="F690" i="1" s="1"/>
  <c r="G690" i="1" s="1"/>
  <c r="E689" i="1"/>
  <c r="F689" i="1" s="1"/>
  <c r="G689" i="1" s="1"/>
  <c r="E688" i="1"/>
  <c r="F688" i="1" s="1"/>
  <c r="G688" i="1" s="1"/>
  <c r="E687" i="1"/>
  <c r="F687" i="1" s="1"/>
  <c r="G687" i="1" s="1"/>
  <c r="E686" i="1"/>
  <c r="F686" i="1" s="1"/>
  <c r="G686" i="1" s="1"/>
  <c r="E685" i="1"/>
  <c r="F685" i="1" s="1"/>
  <c r="G685" i="1" s="1"/>
  <c r="E684" i="1"/>
  <c r="F684" i="1" s="1"/>
  <c r="G684" i="1" s="1"/>
  <c r="E683" i="1"/>
  <c r="F683" i="1" s="1"/>
  <c r="G683" i="1" s="1"/>
  <c r="E682" i="1"/>
  <c r="F682" i="1" s="1"/>
  <c r="G682" i="1" s="1"/>
  <c r="E681" i="1"/>
  <c r="F681" i="1" s="1"/>
  <c r="G681" i="1" s="1"/>
  <c r="E680" i="1"/>
  <c r="F680" i="1" s="1"/>
  <c r="G680" i="1" s="1"/>
  <c r="E679" i="1"/>
  <c r="F679" i="1" s="1"/>
  <c r="G679" i="1" s="1"/>
  <c r="E678" i="1"/>
  <c r="E677" i="1"/>
  <c r="F677" i="1" s="1"/>
  <c r="G677" i="1" s="1"/>
  <c r="E676" i="1"/>
  <c r="F676" i="1" s="1"/>
  <c r="G676" i="1" s="1"/>
  <c r="E675" i="1"/>
  <c r="F675" i="1" s="1"/>
  <c r="G675" i="1" s="1"/>
  <c r="E674" i="1"/>
  <c r="E673" i="1"/>
  <c r="F673" i="1" s="1"/>
  <c r="G673" i="1" s="1"/>
  <c r="E672" i="1"/>
  <c r="F672" i="1" s="1"/>
  <c r="G672" i="1" s="1"/>
  <c r="E671" i="1"/>
  <c r="E670" i="1"/>
  <c r="F670" i="1" s="1"/>
  <c r="G670" i="1" s="1"/>
  <c r="E669" i="1"/>
  <c r="F669" i="1" s="1"/>
  <c r="G669" i="1" s="1"/>
  <c r="E668" i="1"/>
  <c r="F668" i="1" s="1"/>
  <c r="G668" i="1" s="1"/>
  <c r="E667" i="1"/>
  <c r="F667" i="1" s="1"/>
  <c r="G667" i="1" s="1"/>
  <c r="E666" i="1"/>
  <c r="F666" i="1" s="1"/>
  <c r="G666" i="1" s="1"/>
  <c r="E665" i="1"/>
  <c r="F665" i="1" s="1"/>
  <c r="G665" i="1" s="1"/>
  <c r="E664" i="1"/>
  <c r="F664" i="1" s="1"/>
  <c r="G664" i="1" s="1"/>
  <c r="E663" i="1"/>
  <c r="F663" i="1" s="1"/>
  <c r="G663" i="1" s="1"/>
  <c r="E662" i="1"/>
  <c r="F662" i="1" s="1"/>
  <c r="G662" i="1" s="1"/>
  <c r="E661" i="1"/>
  <c r="F661" i="1" s="1"/>
  <c r="G661" i="1" s="1"/>
  <c r="E660" i="1"/>
  <c r="F660" i="1" s="1"/>
  <c r="G660" i="1" s="1"/>
  <c r="E659" i="1"/>
  <c r="F659" i="1" s="1"/>
  <c r="G659" i="1" s="1"/>
  <c r="E658" i="1"/>
  <c r="F658" i="1" s="1"/>
  <c r="G658" i="1" s="1"/>
  <c r="E657" i="1"/>
  <c r="F657" i="1" s="1"/>
  <c r="G657" i="1" s="1"/>
  <c r="E656" i="1"/>
  <c r="F656" i="1" s="1"/>
  <c r="G656" i="1" s="1"/>
  <c r="E655" i="1"/>
  <c r="F655" i="1" s="1"/>
  <c r="G655" i="1" s="1"/>
  <c r="E654" i="1"/>
  <c r="F654" i="1" s="1"/>
  <c r="G654" i="1" s="1"/>
  <c r="E653" i="1"/>
  <c r="F653" i="1" s="1"/>
  <c r="G653" i="1" s="1"/>
  <c r="E652" i="1"/>
  <c r="F652" i="1" s="1"/>
  <c r="E651" i="1"/>
  <c r="F651" i="1" s="1"/>
  <c r="G651" i="1" s="1"/>
  <c r="E650" i="1"/>
  <c r="F650" i="1" s="1"/>
  <c r="E649" i="1"/>
  <c r="E648" i="1"/>
  <c r="F648" i="1" s="1"/>
  <c r="G648" i="1" s="1"/>
  <c r="E647" i="1"/>
  <c r="F647" i="1" s="1"/>
  <c r="G647" i="1" s="1"/>
  <c r="E646" i="1"/>
  <c r="F646" i="1" s="1"/>
  <c r="G646" i="1" s="1"/>
  <c r="E645" i="1"/>
  <c r="F645" i="1" s="1"/>
  <c r="E644" i="1"/>
  <c r="E643" i="1"/>
  <c r="E642" i="1"/>
  <c r="E641" i="1"/>
  <c r="F641" i="1" s="1"/>
  <c r="E640" i="1"/>
  <c r="F640" i="1" s="1"/>
  <c r="G640" i="1" s="1"/>
  <c r="E639" i="1"/>
  <c r="F639" i="1" s="1"/>
  <c r="G639" i="1" s="1"/>
  <c r="E638" i="1"/>
  <c r="F638" i="1" s="1"/>
  <c r="G638" i="1" s="1"/>
  <c r="E637" i="1"/>
  <c r="F637" i="1" s="1"/>
  <c r="G637" i="1" s="1"/>
  <c r="E636" i="1"/>
  <c r="F636" i="1" s="1"/>
  <c r="G636" i="1" s="1"/>
  <c r="E635" i="1"/>
  <c r="F635" i="1" s="1"/>
  <c r="G635" i="1" s="1"/>
  <c r="E634" i="1"/>
  <c r="F634" i="1" s="1"/>
  <c r="G634" i="1" s="1"/>
  <c r="E633" i="1"/>
  <c r="F633" i="1" s="1"/>
  <c r="G633" i="1" s="1"/>
  <c r="E632" i="1"/>
  <c r="E631" i="1"/>
  <c r="E630" i="1"/>
  <c r="F630" i="1" s="1"/>
  <c r="G630" i="1" s="1"/>
  <c r="E629" i="1"/>
  <c r="F629" i="1" s="1"/>
  <c r="G629" i="1" s="1"/>
  <c r="E628" i="1"/>
  <c r="F628" i="1" s="1"/>
  <c r="G628" i="1" s="1"/>
  <c r="E627" i="1"/>
  <c r="F627" i="1" s="1"/>
  <c r="G627" i="1" s="1"/>
  <c r="E626" i="1"/>
  <c r="F626" i="1" s="1"/>
  <c r="G626" i="1" s="1"/>
  <c r="E625" i="1"/>
  <c r="F625" i="1" s="1"/>
  <c r="G625" i="1" s="1"/>
  <c r="E624" i="1"/>
  <c r="F624" i="1" s="1"/>
  <c r="G624" i="1" s="1"/>
  <c r="E623" i="1"/>
  <c r="F623" i="1" s="1"/>
  <c r="G623" i="1" s="1"/>
  <c r="E622" i="1"/>
  <c r="F622" i="1" s="1"/>
  <c r="G622" i="1" s="1"/>
  <c r="E621" i="1"/>
  <c r="F621" i="1" s="1"/>
  <c r="G621" i="1" s="1"/>
  <c r="E620" i="1"/>
  <c r="F620" i="1" s="1"/>
  <c r="G620" i="1" s="1"/>
  <c r="E619" i="1"/>
  <c r="F619" i="1" s="1"/>
  <c r="G619" i="1" s="1"/>
  <c r="E618" i="1"/>
  <c r="F618" i="1" s="1"/>
  <c r="G618" i="1" s="1"/>
  <c r="E617" i="1"/>
  <c r="F617" i="1" s="1"/>
  <c r="G617" i="1" s="1"/>
  <c r="E616" i="1"/>
  <c r="F616" i="1" s="1"/>
  <c r="G616" i="1" s="1"/>
  <c r="E615" i="1"/>
  <c r="F615" i="1" s="1"/>
  <c r="G615" i="1" s="1"/>
  <c r="E614" i="1"/>
  <c r="F614" i="1" s="1"/>
  <c r="G614" i="1" s="1"/>
  <c r="E613" i="1"/>
  <c r="F613" i="1" s="1"/>
  <c r="G613" i="1" s="1"/>
  <c r="E612" i="1"/>
  <c r="F612" i="1" s="1"/>
  <c r="G612" i="1" s="1"/>
  <c r="E611" i="1"/>
  <c r="F611" i="1" s="1"/>
  <c r="G611" i="1" s="1"/>
  <c r="E610" i="1"/>
  <c r="E609" i="1"/>
  <c r="F609" i="1" s="1"/>
  <c r="G609" i="1" s="1"/>
  <c r="E608" i="1"/>
  <c r="F608" i="1" s="1"/>
  <c r="G608" i="1" s="1"/>
  <c r="E607" i="1"/>
  <c r="E606" i="1"/>
  <c r="E605" i="1"/>
  <c r="F605" i="1" s="1"/>
  <c r="G605" i="1" s="1"/>
  <c r="E604" i="1"/>
  <c r="F604" i="1" s="1"/>
  <c r="G604" i="1" s="1"/>
  <c r="E603" i="1"/>
  <c r="E602" i="1"/>
  <c r="F602" i="1" s="1"/>
  <c r="G602" i="1" s="1"/>
  <c r="E601" i="1"/>
  <c r="F601" i="1" s="1"/>
  <c r="G601" i="1" s="1"/>
  <c r="E600" i="1"/>
  <c r="F600" i="1" s="1"/>
  <c r="G600" i="1" s="1"/>
  <c r="E599" i="1"/>
  <c r="F599" i="1" s="1"/>
  <c r="G599" i="1" s="1"/>
  <c r="E598" i="1"/>
  <c r="F598" i="1" s="1"/>
  <c r="G598" i="1" s="1"/>
  <c r="E597" i="1"/>
  <c r="F597" i="1" s="1"/>
  <c r="G597" i="1" s="1"/>
  <c r="E596" i="1"/>
  <c r="F596" i="1" s="1"/>
  <c r="G596" i="1" s="1"/>
  <c r="E595" i="1"/>
  <c r="F595" i="1" s="1"/>
  <c r="G595" i="1" s="1"/>
  <c r="E594" i="1"/>
  <c r="F594" i="1" s="1"/>
  <c r="G594" i="1" s="1"/>
  <c r="E593" i="1"/>
  <c r="E592" i="1"/>
  <c r="F592" i="1" s="1"/>
  <c r="G592" i="1" s="1"/>
  <c r="E591" i="1"/>
  <c r="E590" i="1"/>
  <c r="E589" i="1"/>
  <c r="F589" i="1" s="1"/>
  <c r="G589" i="1" s="1"/>
  <c r="E588" i="1"/>
  <c r="F588" i="1" s="1"/>
  <c r="G588" i="1" s="1"/>
  <c r="E587" i="1"/>
  <c r="F587" i="1" s="1"/>
  <c r="G587" i="1" s="1"/>
  <c r="E586" i="1"/>
  <c r="F586" i="1" s="1"/>
  <c r="G586" i="1" s="1"/>
  <c r="E585" i="1"/>
  <c r="F585" i="1" s="1"/>
  <c r="G585" i="1" s="1"/>
  <c r="E584" i="1"/>
  <c r="F584" i="1" s="1"/>
  <c r="G584" i="1" s="1"/>
  <c r="E583" i="1"/>
  <c r="F583" i="1" s="1"/>
  <c r="G583" i="1" s="1"/>
  <c r="E582" i="1"/>
  <c r="F582" i="1" s="1"/>
  <c r="G582" i="1" s="1"/>
  <c r="E581" i="1"/>
  <c r="F581" i="1" s="1"/>
  <c r="E580" i="1"/>
  <c r="F580" i="1" s="1"/>
  <c r="G580" i="1" s="1"/>
  <c r="E579" i="1"/>
  <c r="F579" i="1" s="1"/>
  <c r="G579" i="1" s="1"/>
  <c r="E578" i="1"/>
  <c r="F578" i="1" s="1"/>
  <c r="G578" i="1" s="1"/>
  <c r="E577" i="1"/>
  <c r="F577" i="1" s="1"/>
  <c r="E576" i="1"/>
  <c r="F576" i="1" s="1"/>
  <c r="G576" i="1" s="1"/>
  <c r="E575" i="1"/>
  <c r="F575" i="1" s="1"/>
  <c r="G575" i="1" s="1"/>
  <c r="E574" i="1"/>
  <c r="F574" i="1" s="1"/>
  <c r="G574" i="1" s="1"/>
  <c r="E573" i="1"/>
  <c r="F573" i="1" s="1"/>
  <c r="G573" i="1" s="1"/>
  <c r="E572" i="1"/>
  <c r="F572" i="1" s="1"/>
  <c r="G572" i="1" s="1"/>
  <c r="E571" i="1"/>
  <c r="F571" i="1" s="1"/>
  <c r="G571" i="1" s="1"/>
  <c r="E570" i="1"/>
  <c r="F570" i="1" s="1"/>
  <c r="G570" i="1" s="1"/>
  <c r="E569" i="1"/>
  <c r="F569" i="1" s="1"/>
  <c r="G569" i="1" s="1"/>
  <c r="E568" i="1"/>
  <c r="F568" i="1" s="1"/>
  <c r="G568" i="1" s="1"/>
  <c r="E567" i="1"/>
  <c r="F567" i="1" s="1"/>
  <c r="G567" i="1" s="1"/>
  <c r="E566" i="1"/>
  <c r="E565" i="1"/>
  <c r="F565" i="1" s="1"/>
  <c r="G565" i="1" s="1"/>
  <c r="E564" i="1"/>
  <c r="E563" i="1"/>
  <c r="F563" i="1" s="1"/>
  <c r="G563" i="1" s="1"/>
  <c r="E562" i="1"/>
  <c r="F562" i="1" s="1"/>
  <c r="G562" i="1" s="1"/>
  <c r="E561" i="1"/>
  <c r="E560" i="1"/>
  <c r="F560" i="1" s="1"/>
  <c r="G560" i="1" s="1"/>
  <c r="E559" i="1"/>
  <c r="F559" i="1" s="1"/>
  <c r="G559" i="1" s="1"/>
  <c r="E558" i="1"/>
  <c r="F558" i="1" s="1"/>
  <c r="G558" i="1" s="1"/>
  <c r="E557" i="1"/>
  <c r="F557" i="1" s="1"/>
  <c r="G557" i="1" s="1"/>
  <c r="E556" i="1"/>
  <c r="F556" i="1" s="1"/>
  <c r="G556" i="1" s="1"/>
  <c r="E555" i="1"/>
  <c r="F555" i="1" s="1"/>
  <c r="G555" i="1" s="1"/>
  <c r="E554" i="1"/>
  <c r="F554" i="1" s="1"/>
  <c r="G554" i="1" s="1"/>
  <c r="E553" i="1"/>
  <c r="E552" i="1"/>
  <c r="E551" i="1"/>
  <c r="F551" i="1" s="1"/>
  <c r="G551" i="1" s="1"/>
  <c r="E550" i="1"/>
  <c r="E549" i="1"/>
  <c r="F549" i="1" s="1"/>
  <c r="G549" i="1" s="1"/>
  <c r="E548" i="1"/>
  <c r="F548" i="1" s="1"/>
  <c r="G548" i="1" s="1"/>
  <c r="E547" i="1"/>
  <c r="F547" i="1" s="1"/>
  <c r="G547" i="1" s="1"/>
  <c r="E546" i="1"/>
  <c r="F546" i="1" s="1"/>
  <c r="G546" i="1" s="1"/>
  <c r="E545" i="1"/>
  <c r="F545" i="1" s="1"/>
  <c r="G545" i="1" s="1"/>
  <c r="E544" i="1"/>
  <c r="F544" i="1" s="1"/>
  <c r="G544" i="1" s="1"/>
  <c r="E543" i="1"/>
  <c r="F543" i="1" s="1"/>
  <c r="G543" i="1" s="1"/>
  <c r="E542" i="1"/>
  <c r="F542" i="1" s="1"/>
  <c r="G542" i="1" s="1"/>
  <c r="E541" i="1"/>
  <c r="F541" i="1" s="1"/>
  <c r="G541" i="1" s="1"/>
  <c r="E540" i="1"/>
  <c r="F540" i="1" s="1"/>
  <c r="G540" i="1" s="1"/>
  <c r="E539" i="1"/>
  <c r="F539" i="1" s="1"/>
  <c r="G539" i="1" s="1"/>
  <c r="E538" i="1"/>
  <c r="F538" i="1" s="1"/>
  <c r="G538" i="1" s="1"/>
  <c r="E537" i="1"/>
  <c r="F537" i="1" s="1"/>
  <c r="G537" i="1" s="1"/>
  <c r="E536" i="1"/>
  <c r="F536" i="1" s="1"/>
  <c r="G536" i="1" s="1"/>
  <c r="E535" i="1"/>
  <c r="F535" i="1" s="1"/>
  <c r="G535" i="1" s="1"/>
  <c r="E534" i="1"/>
  <c r="F534" i="1" s="1"/>
  <c r="G534" i="1" s="1"/>
  <c r="E533" i="1"/>
  <c r="F533" i="1" s="1"/>
  <c r="G533" i="1" s="1"/>
  <c r="E532" i="1"/>
  <c r="F532" i="1" s="1"/>
  <c r="G532" i="1" s="1"/>
  <c r="E531" i="1"/>
  <c r="F531" i="1" s="1"/>
  <c r="G531" i="1" s="1"/>
  <c r="E530" i="1"/>
  <c r="F530" i="1" s="1"/>
  <c r="G530" i="1" s="1"/>
  <c r="E529" i="1"/>
  <c r="F529" i="1" s="1"/>
  <c r="G529" i="1" s="1"/>
  <c r="E528" i="1"/>
  <c r="F528" i="1" s="1"/>
  <c r="G528" i="1" s="1"/>
  <c r="E527" i="1"/>
  <c r="F527" i="1" s="1"/>
  <c r="G527" i="1" s="1"/>
  <c r="E526" i="1"/>
  <c r="F526" i="1" s="1"/>
  <c r="G526" i="1" s="1"/>
  <c r="E525" i="1"/>
  <c r="F525" i="1" s="1"/>
  <c r="G525" i="1" s="1"/>
  <c r="E524" i="1"/>
  <c r="F524" i="1" s="1"/>
  <c r="G524" i="1" s="1"/>
  <c r="E523" i="1"/>
  <c r="F523" i="1" s="1"/>
  <c r="G523" i="1" s="1"/>
  <c r="E522" i="1"/>
  <c r="F522" i="1" s="1"/>
  <c r="G522" i="1" s="1"/>
  <c r="E521" i="1"/>
  <c r="F521" i="1" s="1"/>
  <c r="G521" i="1" s="1"/>
  <c r="E520" i="1"/>
  <c r="F520" i="1" s="1"/>
  <c r="G520" i="1" s="1"/>
  <c r="E519" i="1"/>
  <c r="F519" i="1" s="1"/>
  <c r="G519" i="1" s="1"/>
  <c r="E518" i="1"/>
  <c r="F518" i="1" s="1"/>
  <c r="G518" i="1" s="1"/>
  <c r="E517" i="1"/>
  <c r="F517" i="1" s="1"/>
  <c r="G517" i="1" s="1"/>
  <c r="E516" i="1"/>
  <c r="F516" i="1" s="1"/>
  <c r="G516" i="1" s="1"/>
  <c r="E515" i="1"/>
  <c r="F515" i="1" s="1"/>
  <c r="G515" i="1" s="1"/>
  <c r="E514" i="1"/>
  <c r="F514" i="1" s="1"/>
  <c r="G514" i="1" s="1"/>
  <c r="E513" i="1"/>
  <c r="F513" i="1" s="1"/>
  <c r="G513" i="1" s="1"/>
  <c r="E512" i="1"/>
  <c r="F512" i="1" s="1"/>
  <c r="G512" i="1" s="1"/>
  <c r="E511" i="1"/>
  <c r="F511" i="1" s="1"/>
  <c r="G511" i="1" s="1"/>
  <c r="E510" i="1"/>
  <c r="E509" i="1"/>
  <c r="F509" i="1" s="1"/>
  <c r="G509" i="1" s="1"/>
  <c r="E508" i="1"/>
  <c r="E507" i="1"/>
  <c r="F507" i="1" s="1"/>
  <c r="G507" i="1" s="1"/>
  <c r="E506" i="1"/>
  <c r="F506" i="1" s="1"/>
  <c r="G506" i="1" s="1"/>
  <c r="E505" i="1"/>
  <c r="F505" i="1" s="1"/>
  <c r="G505" i="1" s="1"/>
  <c r="E504" i="1"/>
  <c r="F504" i="1" s="1"/>
  <c r="G504" i="1" s="1"/>
  <c r="E503" i="1"/>
  <c r="E502" i="1"/>
  <c r="F502" i="1" s="1"/>
  <c r="G502" i="1" s="1"/>
  <c r="E501" i="1"/>
  <c r="F501" i="1" s="1"/>
  <c r="G501" i="1" s="1"/>
  <c r="E500" i="1"/>
  <c r="F500" i="1" s="1"/>
  <c r="G500" i="1" s="1"/>
  <c r="E499" i="1"/>
  <c r="F499" i="1" s="1"/>
  <c r="G499" i="1" s="1"/>
  <c r="E498" i="1"/>
  <c r="E497" i="1"/>
  <c r="F497" i="1" s="1"/>
  <c r="G497" i="1" s="1"/>
  <c r="E496" i="1"/>
  <c r="F496" i="1" s="1"/>
  <c r="G496" i="1" s="1"/>
  <c r="E495" i="1"/>
  <c r="F495" i="1" s="1"/>
  <c r="G495" i="1" s="1"/>
  <c r="E494" i="1"/>
  <c r="F494" i="1" s="1"/>
  <c r="G494" i="1" s="1"/>
  <c r="E493" i="1"/>
  <c r="F493" i="1" s="1"/>
  <c r="G493" i="1" s="1"/>
  <c r="E492" i="1"/>
  <c r="F492" i="1" s="1"/>
  <c r="G492" i="1" s="1"/>
  <c r="E491" i="1"/>
  <c r="F491" i="1" s="1"/>
  <c r="G491" i="1" s="1"/>
  <c r="E490" i="1"/>
  <c r="F490" i="1" s="1"/>
  <c r="G490" i="1" s="1"/>
  <c r="E489" i="1"/>
  <c r="F489" i="1" s="1"/>
  <c r="G489" i="1" s="1"/>
  <c r="E488" i="1"/>
  <c r="F488" i="1" s="1"/>
  <c r="G488" i="1" s="1"/>
  <c r="E487" i="1"/>
  <c r="F487" i="1" s="1"/>
  <c r="G487" i="1" s="1"/>
  <c r="E486" i="1"/>
  <c r="F486" i="1" s="1"/>
  <c r="G486" i="1" s="1"/>
  <c r="E485" i="1"/>
  <c r="F485" i="1" s="1"/>
  <c r="G485" i="1" s="1"/>
  <c r="E484" i="1"/>
  <c r="F484" i="1" s="1"/>
  <c r="G484" i="1" s="1"/>
  <c r="E483" i="1"/>
  <c r="F483" i="1" s="1"/>
  <c r="G483" i="1" s="1"/>
  <c r="E482" i="1"/>
  <c r="F482" i="1" s="1"/>
  <c r="E481" i="1"/>
  <c r="F481" i="1" s="1"/>
  <c r="E480" i="1"/>
  <c r="F480" i="1" s="1"/>
  <c r="G480" i="1" s="1"/>
  <c r="E479" i="1"/>
  <c r="F479" i="1" s="1"/>
  <c r="E478" i="1"/>
  <c r="F478" i="1" s="1"/>
  <c r="G478" i="1" s="1"/>
  <c r="E477" i="1"/>
  <c r="F477" i="1" s="1"/>
  <c r="G477" i="1" s="1"/>
  <c r="E476" i="1"/>
  <c r="F476" i="1" s="1"/>
  <c r="G476" i="1" s="1"/>
  <c r="E475" i="1"/>
  <c r="F475" i="1" s="1"/>
  <c r="G475" i="1" s="1"/>
  <c r="E474" i="1"/>
  <c r="F474" i="1" s="1"/>
  <c r="G474" i="1" s="1"/>
  <c r="E473" i="1"/>
  <c r="F473" i="1" s="1"/>
  <c r="G473" i="1" s="1"/>
  <c r="E472" i="1"/>
  <c r="F472" i="1" s="1"/>
  <c r="G472" i="1" s="1"/>
  <c r="E471" i="1"/>
  <c r="F471" i="1" s="1"/>
  <c r="G471" i="1" s="1"/>
  <c r="E470" i="1"/>
  <c r="E469" i="1"/>
  <c r="E468" i="1"/>
  <c r="F468" i="1" s="1"/>
  <c r="G468" i="1" s="1"/>
  <c r="E467" i="1"/>
  <c r="F467" i="1" s="1"/>
  <c r="G467" i="1" s="1"/>
  <c r="E466" i="1"/>
  <c r="F466" i="1" s="1"/>
  <c r="G466" i="1" s="1"/>
  <c r="E465" i="1"/>
  <c r="F465" i="1" s="1"/>
  <c r="G465" i="1" s="1"/>
  <c r="E464" i="1"/>
  <c r="F464" i="1" s="1"/>
  <c r="G464" i="1" s="1"/>
  <c r="E463" i="1"/>
  <c r="F463" i="1" s="1"/>
  <c r="G463" i="1" s="1"/>
  <c r="E462" i="1"/>
  <c r="F462" i="1" s="1"/>
  <c r="G462" i="1" s="1"/>
  <c r="E461" i="1"/>
  <c r="E460" i="1"/>
  <c r="E459" i="1"/>
  <c r="F459" i="1" s="1"/>
  <c r="G459" i="1" s="1"/>
  <c r="E458" i="1"/>
  <c r="F458" i="1" s="1"/>
  <c r="G458" i="1" s="1"/>
  <c r="E457" i="1"/>
  <c r="F457" i="1" s="1"/>
  <c r="G457" i="1" s="1"/>
  <c r="E456" i="1"/>
  <c r="F456" i="1" s="1"/>
  <c r="G456" i="1" s="1"/>
  <c r="E455" i="1"/>
  <c r="F455" i="1" s="1"/>
  <c r="G455" i="1" s="1"/>
  <c r="E454" i="1"/>
  <c r="E453" i="1"/>
  <c r="F453" i="1" s="1"/>
  <c r="G453" i="1" s="1"/>
  <c r="E452" i="1"/>
  <c r="F452" i="1" s="1"/>
  <c r="G452" i="1" s="1"/>
  <c r="E451" i="1"/>
  <c r="F451" i="1" s="1"/>
  <c r="G451" i="1" s="1"/>
  <c r="E450" i="1"/>
  <c r="F450" i="1" s="1"/>
  <c r="G450" i="1" s="1"/>
  <c r="E449" i="1"/>
  <c r="F449" i="1" s="1"/>
  <c r="E448" i="1"/>
  <c r="F448" i="1" s="1"/>
  <c r="G448" i="1" s="1"/>
  <c r="E447" i="1"/>
  <c r="F447" i="1" s="1"/>
  <c r="G447" i="1" s="1"/>
  <c r="E446" i="1"/>
  <c r="F446" i="1" s="1"/>
  <c r="G446" i="1" s="1"/>
  <c r="E445" i="1"/>
  <c r="F445" i="1" s="1"/>
  <c r="G445" i="1" s="1"/>
  <c r="E444" i="1"/>
  <c r="F444" i="1" s="1"/>
  <c r="G444" i="1" s="1"/>
  <c r="E443" i="1"/>
  <c r="F443" i="1" s="1"/>
  <c r="G443" i="1" s="1"/>
  <c r="E442" i="1"/>
  <c r="F442" i="1" s="1"/>
  <c r="E441" i="1"/>
  <c r="F441" i="1" s="1"/>
  <c r="E440" i="1"/>
  <c r="F440" i="1" s="1"/>
  <c r="G440" i="1" s="1"/>
  <c r="E439" i="1"/>
  <c r="F439" i="1" s="1"/>
  <c r="G439" i="1" s="1"/>
  <c r="E438" i="1"/>
  <c r="F438" i="1" s="1"/>
  <c r="G438" i="1" s="1"/>
  <c r="E437" i="1"/>
  <c r="E436" i="1"/>
  <c r="F436" i="1" s="1"/>
  <c r="G436" i="1" s="1"/>
  <c r="E435" i="1"/>
  <c r="E434" i="1"/>
  <c r="F434" i="1" s="1"/>
  <c r="E433" i="1"/>
  <c r="F433" i="1" s="1"/>
  <c r="G433" i="1" s="1"/>
  <c r="E432" i="1"/>
  <c r="F432" i="1" s="1"/>
  <c r="G432" i="1" s="1"/>
  <c r="E431" i="1"/>
  <c r="F431" i="1" s="1"/>
  <c r="G431" i="1" s="1"/>
  <c r="E430" i="1"/>
  <c r="F430" i="1" s="1"/>
  <c r="G430" i="1" s="1"/>
  <c r="E429" i="1"/>
  <c r="F429" i="1" s="1"/>
  <c r="G429" i="1" s="1"/>
  <c r="E428" i="1"/>
  <c r="F428" i="1" s="1"/>
  <c r="G428" i="1" s="1"/>
  <c r="E427" i="1"/>
  <c r="F427" i="1" s="1"/>
  <c r="G427" i="1" s="1"/>
  <c r="E426" i="1"/>
  <c r="F426" i="1" s="1"/>
  <c r="G426" i="1" s="1"/>
  <c r="E425" i="1"/>
  <c r="F425" i="1" s="1"/>
  <c r="G425" i="1" s="1"/>
  <c r="E424" i="1"/>
  <c r="F424" i="1" s="1"/>
  <c r="G424" i="1" s="1"/>
  <c r="E423" i="1"/>
  <c r="F423" i="1" s="1"/>
  <c r="G423" i="1" s="1"/>
  <c r="E422" i="1"/>
  <c r="E421" i="1"/>
  <c r="E420" i="1"/>
  <c r="F420" i="1" s="1"/>
  <c r="G420" i="1" s="1"/>
  <c r="E419" i="1"/>
  <c r="F419" i="1" s="1"/>
  <c r="G419" i="1" s="1"/>
  <c r="E418" i="1"/>
  <c r="E417" i="1"/>
  <c r="F417" i="1" s="1"/>
  <c r="E416" i="1"/>
  <c r="F416" i="1" s="1"/>
  <c r="G416" i="1" s="1"/>
  <c r="E415" i="1"/>
  <c r="F415" i="1" s="1"/>
  <c r="G415" i="1" s="1"/>
  <c r="E414" i="1"/>
  <c r="F414" i="1" s="1"/>
  <c r="G414" i="1" s="1"/>
  <c r="E413" i="1"/>
  <c r="F413" i="1" s="1"/>
  <c r="G413" i="1" s="1"/>
  <c r="E412" i="1"/>
  <c r="F412" i="1" s="1"/>
  <c r="G412" i="1" s="1"/>
  <c r="E411" i="1"/>
  <c r="F411" i="1" s="1"/>
  <c r="G411" i="1" s="1"/>
  <c r="E410" i="1"/>
  <c r="F410" i="1" s="1"/>
  <c r="G410" i="1" s="1"/>
  <c r="E409" i="1"/>
  <c r="F409" i="1" s="1"/>
  <c r="G409" i="1" s="1"/>
  <c r="E408" i="1"/>
  <c r="F408" i="1" s="1"/>
  <c r="G408" i="1" s="1"/>
  <c r="E407" i="1"/>
  <c r="F407" i="1" s="1"/>
  <c r="G407" i="1" s="1"/>
  <c r="E406" i="1"/>
  <c r="F406" i="1" s="1"/>
  <c r="G406" i="1" s="1"/>
  <c r="E405" i="1"/>
  <c r="F405" i="1" s="1"/>
  <c r="G405" i="1" s="1"/>
  <c r="E404" i="1"/>
  <c r="F404" i="1" s="1"/>
  <c r="G404" i="1" s="1"/>
  <c r="E403" i="1"/>
  <c r="F403" i="1" s="1"/>
  <c r="G403" i="1" s="1"/>
  <c r="E402" i="1"/>
  <c r="F402" i="1" s="1"/>
  <c r="G402" i="1" s="1"/>
  <c r="E401" i="1"/>
  <c r="F401" i="1" s="1"/>
  <c r="G401" i="1" s="1"/>
  <c r="E400" i="1"/>
  <c r="F400" i="1" s="1"/>
  <c r="G400" i="1" s="1"/>
  <c r="E399" i="1"/>
  <c r="F399" i="1" s="1"/>
  <c r="G399" i="1" s="1"/>
  <c r="E398" i="1"/>
  <c r="E397" i="1"/>
  <c r="F397" i="1" s="1"/>
  <c r="G397" i="1" s="1"/>
  <c r="E396" i="1"/>
  <c r="F396" i="1" s="1"/>
  <c r="G396" i="1" s="1"/>
  <c r="E395" i="1"/>
  <c r="F395" i="1" s="1"/>
  <c r="G395" i="1" s="1"/>
  <c r="E394" i="1"/>
  <c r="F394" i="1" s="1"/>
  <c r="G394" i="1" s="1"/>
  <c r="E393" i="1"/>
  <c r="F393" i="1" s="1"/>
  <c r="G393" i="1" s="1"/>
  <c r="E392" i="1"/>
  <c r="F392" i="1" s="1"/>
  <c r="G392" i="1" s="1"/>
  <c r="E391" i="1"/>
  <c r="F391" i="1" s="1"/>
  <c r="G391" i="1" s="1"/>
  <c r="E390" i="1"/>
  <c r="F390" i="1" s="1"/>
  <c r="G390" i="1" s="1"/>
  <c r="E389" i="1"/>
  <c r="F389" i="1" s="1"/>
  <c r="G389" i="1" s="1"/>
  <c r="E388" i="1"/>
  <c r="F388" i="1" s="1"/>
  <c r="G388" i="1" s="1"/>
  <c r="E387" i="1"/>
  <c r="F387" i="1" s="1"/>
  <c r="G387" i="1" s="1"/>
  <c r="E386" i="1"/>
  <c r="F386" i="1" s="1"/>
  <c r="G386" i="1" s="1"/>
  <c r="E385" i="1"/>
  <c r="F385" i="1" s="1"/>
  <c r="G385" i="1" s="1"/>
  <c r="E384" i="1"/>
  <c r="E383" i="1"/>
  <c r="E382" i="1"/>
  <c r="E381" i="1"/>
  <c r="E380" i="1"/>
  <c r="F380" i="1" s="1"/>
  <c r="G380" i="1" s="1"/>
  <c r="E379" i="1"/>
  <c r="F379" i="1" s="1"/>
  <c r="G379" i="1" s="1"/>
  <c r="E378" i="1"/>
  <c r="F378" i="1" s="1"/>
  <c r="G378" i="1" s="1"/>
  <c r="E377" i="1"/>
  <c r="F377" i="1" s="1"/>
  <c r="G377" i="1" s="1"/>
  <c r="E376" i="1"/>
  <c r="F376" i="1" s="1"/>
  <c r="G376" i="1" s="1"/>
  <c r="E375" i="1"/>
  <c r="F375" i="1" s="1"/>
  <c r="G375" i="1" s="1"/>
  <c r="E374" i="1"/>
  <c r="F374" i="1" s="1"/>
  <c r="G374" i="1" s="1"/>
  <c r="E373" i="1"/>
  <c r="F373" i="1" s="1"/>
  <c r="G373" i="1" s="1"/>
  <c r="E372" i="1"/>
  <c r="F372" i="1" s="1"/>
  <c r="E371" i="1"/>
  <c r="F371" i="1" s="1"/>
  <c r="G371" i="1" s="1"/>
  <c r="E370" i="1"/>
  <c r="F370" i="1" s="1"/>
  <c r="G370" i="1" s="1"/>
  <c r="E369" i="1"/>
  <c r="F369" i="1" s="1"/>
  <c r="G369" i="1" s="1"/>
  <c r="E368" i="1"/>
  <c r="F368" i="1" s="1"/>
  <c r="G368" i="1" s="1"/>
  <c r="E367" i="1"/>
  <c r="F367" i="1" s="1"/>
  <c r="G367" i="1" s="1"/>
  <c r="E366" i="1"/>
  <c r="F366" i="1" s="1"/>
  <c r="G366" i="1" s="1"/>
  <c r="E365" i="1"/>
  <c r="F365" i="1" s="1"/>
  <c r="G365" i="1" s="1"/>
  <c r="E364" i="1"/>
  <c r="F364" i="1" s="1"/>
  <c r="G364" i="1" s="1"/>
  <c r="E363" i="1"/>
  <c r="F363" i="1" s="1"/>
  <c r="G363" i="1" s="1"/>
  <c r="E362" i="1"/>
  <c r="F362" i="1" s="1"/>
  <c r="E361" i="1"/>
  <c r="F361" i="1" s="1"/>
  <c r="E360" i="1"/>
  <c r="F360" i="1" s="1"/>
  <c r="G360" i="1" s="1"/>
  <c r="E359" i="1"/>
  <c r="F359" i="1" s="1"/>
  <c r="G359" i="1" s="1"/>
  <c r="E358" i="1"/>
  <c r="F358" i="1" s="1"/>
  <c r="G358" i="1" s="1"/>
  <c r="E357" i="1"/>
  <c r="F357" i="1" s="1"/>
  <c r="G357" i="1" s="1"/>
  <c r="E356" i="1"/>
  <c r="F356" i="1" s="1"/>
  <c r="G356" i="1" s="1"/>
  <c r="E355" i="1"/>
  <c r="F355" i="1" s="1"/>
  <c r="G355" i="1" s="1"/>
  <c r="E354" i="1"/>
  <c r="F354" i="1" s="1"/>
  <c r="E353" i="1"/>
  <c r="F353" i="1" s="1"/>
  <c r="G353" i="1" s="1"/>
  <c r="E352" i="1"/>
  <c r="F352" i="1" s="1"/>
  <c r="G352" i="1" s="1"/>
  <c r="E351" i="1"/>
  <c r="F351" i="1" s="1"/>
  <c r="G351" i="1" s="1"/>
  <c r="E350" i="1"/>
  <c r="F350" i="1" s="1"/>
  <c r="G350" i="1" s="1"/>
  <c r="E349" i="1"/>
  <c r="E348" i="1"/>
  <c r="E347" i="1"/>
  <c r="F347" i="1" s="1"/>
  <c r="G347" i="1" s="1"/>
  <c r="E346" i="1"/>
  <c r="F346" i="1" s="1"/>
  <c r="G346" i="1" s="1"/>
  <c r="E345" i="1"/>
  <c r="F345" i="1" s="1"/>
  <c r="G345" i="1" s="1"/>
  <c r="E344" i="1"/>
  <c r="F344" i="1" s="1"/>
  <c r="G344" i="1" s="1"/>
  <c r="E343" i="1"/>
  <c r="F343" i="1" s="1"/>
  <c r="G343" i="1" s="1"/>
  <c r="E342" i="1"/>
  <c r="F342" i="1" s="1"/>
  <c r="G342" i="1" s="1"/>
  <c r="E341" i="1"/>
  <c r="F341" i="1" s="1"/>
  <c r="G341" i="1" s="1"/>
  <c r="E340" i="1"/>
  <c r="F340" i="1" s="1"/>
  <c r="G340" i="1" s="1"/>
  <c r="E339" i="1"/>
  <c r="F339" i="1" s="1"/>
  <c r="G339" i="1" s="1"/>
  <c r="E338" i="1"/>
  <c r="E337" i="1"/>
  <c r="E336" i="1"/>
  <c r="F336" i="1" s="1"/>
  <c r="G336" i="1" s="1"/>
  <c r="E335" i="1"/>
  <c r="F335" i="1" s="1"/>
  <c r="G335" i="1" s="1"/>
  <c r="E334" i="1"/>
  <c r="F334" i="1" s="1"/>
  <c r="G334" i="1" s="1"/>
  <c r="E333" i="1"/>
  <c r="F333" i="1" s="1"/>
  <c r="G333" i="1" s="1"/>
  <c r="E332" i="1"/>
  <c r="F332" i="1" s="1"/>
  <c r="G332" i="1" s="1"/>
  <c r="E331" i="1"/>
  <c r="F331" i="1" s="1"/>
  <c r="G331" i="1" s="1"/>
  <c r="E330" i="1"/>
  <c r="F330" i="1" s="1"/>
  <c r="G330" i="1" s="1"/>
  <c r="E329" i="1"/>
  <c r="F329" i="1" s="1"/>
  <c r="G329" i="1" s="1"/>
  <c r="E328" i="1"/>
  <c r="F328" i="1" s="1"/>
  <c r="G328" i="1" s="1"/>
  <c r="E327" i="1"/>
  <c r="F327" i="1" s="1"/>
  <c r="G327" i="1" s="1"/>
  <c r="E326" i="1"/>
  <c r="F326" i="1" s="1"/>
  <c r="G326" i="1" s="1"/>
  <c r="E325" i="1"/>
  <c r="F325" i="1" s="1"/>
  <c r="G325" i="1" s="1"/>
  <c r="E324" i="1"/>
  <c r="F324" i="1" s="1"/>
  <c r="G324" i="1" s="1"/>
  <c r="E323" i="1"/>
  <c r="F323" i="1" s="1"/>
  <c r="G323" i="1" s="1"/>
  <c r="E322" i="1"/>
  <c r="F322" i="1" s="1"/>
  <c r="G322" i="1" s="1"/>
  <c r="E321" i="1"/>
  <c r="F321" i="1" s="1"/>
  <c r="G321" i="1" s="1"/>
  <c r="E320" i="1"/>
  <c r="F320" i="1" s="1"/>
  <c r="G320" i="1" s="1"/>
  <c r="E319" i="1"/>
  <c r="F319" i="1" s="1"/>
  <c r="G319" i="1" s="1"/>
  <c r="E318" i="1"/>
  <c r="F318" i="1" s="1"/>
  <c r="G318" i="1" s="1"/>
  <c r="E317" i="1"/>
  <c r="F317" i="1" s="1"/>
  <c r="G317" i="1" s="1"/>
  <c r="E316" i="1"/>
  <c r="F316" i="1" s="1"/>
  <c r="G316" i="1" s="1"/>
  <c r="E315" i="1"/>
  <c r="F315" i="1" s="1"/>
  <c r="G315" i="1" s="1"/>
  <c r="E314" i="1"/>
  <c r="F314" i="1" s="1"/>
  <c r="G314" i="1" s="1"/>
  <c r="E313" i="1"/>
  <c r="F313" i="1" s="1"/>
  <c r="G313" i="1" s="1"/>
  <c r="E312" i="1"/>
  <c r="F312" i="1" s="1"/>
  <c r="G312" i="1" s="1"/>
  <c r="E311" i="1"/>
  <c r="F311" i="1" s="1"/>
  <c r="G311" i="1" s="1"/>
  <c r="E310" i="1"/>
  <c r="F310" i="1" s="1"/>
  <c r="G310" i="1" s="1"/>
  <c r="E309" i="1"/>
  <c r="E308" i="1"/>
  <c r="F308" i="1" s="1"/>
  <c r="G308" i="1" s="1"/>
  <c r="E307" i="1"/>
  <c r="F307" i="1" s="1"/>
  <c r="G307" i="1" s="1"/>
  <c r="E306" i="1"/>
  <c r="F306" i="1" s="1"/>
  <c r="G306" i="1" s="1"/>
  <c r="E305" i="1"/>
  <c r="F305" i="1" s="1"/>
  <c r="G305" i="1" s="1"/>
  <c r="E304" i="1"/>
  <c r="F304" i="1" s="1"/>
  <c r="G304" i="1" s="1"/>
  <c r="E303" i="1"/>
  <c r="F303" i="1" s="1"/>
  <c r="G303" i="1" s="1"/>
  <c r="E302" i="1"/>
  <c r="E301" i="1"/>
  <c r="F301" i="1" s="1"/>
  <c r="G301" i="1" s="1"/>
  <c r="E300" i="1"/>
  <c r="F300" i="1" s="1"/>
  <c r="G300" i="1" s="1"/>
  <c r="E299" i="1"/>
  <c r="F299" i="1" s="1"/>
  <c r="G299" i="1" s="1"/>
  <c r="E298" i="1"/>
  <c r="F298" i="1" s="1"/>
  <c r="G298" i="1" s="1"/>
  <c r="E297" i="1"/>
  <c r="F297" i="1" s="1"/>
  <c r="G297" i="1" s="1"/>
  <c r="E296" i="1"/>
  <c r="F296" i="1" s="1"/>
  <c r="G296" i="1" s="1"/>
  <c r="E295" i="1"/>
  <c r="F295" i="1" s="1"/>
  <c r="G295" i="1" s="1"/>
  <c r="E294" i="1"/>
  <c r="F294" i="1" s="1"/>
  <c r="G294" i="1" s="1"/>
  <c r="E293" i="1"/>
  <c r="F293" i="1" s="1"/>
  <c r="G293" i="1" s="1"/>
  <c r="E292" i="1"/>
  <c r="F292" i="1" s="1"/>
  <c r="G292" i="1" s="1"/>
  <c r="E291" i="1"/>
  <c r="F291" i="1" s="1"/>
  <c r="G291" i="1" s="1"/>
  <c r="E290" i="1"/>
  <c r="F290" i="1" s="1"/>
  <c r="G290" i="1" s="1"/>
  <c r="E289" i="1"/>
  <c r="F289" i="1" s="1"/>
  <c r="G289" i="1" s="1"/>
  <c r="E288" i="1"/>
  <c r="F288" i="1" s="1"/>
  <c r="G288" i="1" s="1"/>
  <c r="E287" i="1"/>
  <c r="F287" i="1" s="1"/>
  <c r="G287" i="1" s="1"/>
  <c r="E286" i="1"/>
  <c r="F286" i="1" s="1"/>
  <c r="G286" i="1" s="1"/>
  <c r="E285" i="1"/>
  <c r="F285" i="1" s="1"/>
  <c r="G285" i="1" s="1"/>
  <c r="E284" i="1"/>
  <c r="F284" i="1" s="1"/>
  <c r="G284" i="1" s="1"/>
  <c r="E283" i="1"/>
  <c r="F283" i="1" s="1"/>
  <c r="G283" i="1" s="1"/>
  <c r="E282" i="1"/>
  <c r="F282" i="1" s="1"/>
  <c r="G282" i="1" s="1"/>
  <c r="E281" i="1"/>
  <c r="F281" i="1" s="1"/>
  <c r="G281" i="1" s="1"/>
  <c r="E280" i="1"/>
  <c r="F280" i="1" s="1"/>
  <c r="G280" i="1" s="1"/>
  <c r="E279" i="1"/>
  <c r="F279" i="1" s="1"/>
  <c r="G279" i="1" s="1"/>
  <c r="E278" i="1"/>
  <c r="F278" i="1" s="1"/>
  <c r="G278" i="1" s="1"/>
  <c r="E277" i="1"/>
  <c r="F277" i="1" s="1"/>
  <c r="G277" i="1" s="1"/>
  <c r="E276" i="1"/>
  <c r="F276" i="1" s="1"/>
  <c r="G276" i="1" s="1"/>
  <c r="E275" i="1"/>
  <c r="F275" i="1" s="1"/>
  <c r="G275" i="1" s="1"/>
  <c r="E274" i="1"/>
  <c r="F274" i="1" s="1"/>
  <c r="G274" i="1" s="1"/>
  <c r="E273" i="1"/>
  <c r="E272" i="1"/>
  <c r="F272" i="1" s="1"/>
  <c r="G272" i="1" s="1"/>
  <c r="E271" i="1"/>
  <c r="E270" i="1"/>
  <c r="F270" i="1" s="1"/>
  <c r="G270" i="1" s="1"/>
  <c r="E269" i="1"/>
  <c r="F269" i="1" s="1"/>
  <c r="G269" i="1" s="1"/>
  <c r="E268" i="1"/>
  <c r="F268" i="1" s="1"/>
  <c r="G268" i="1" s="1"/>
  <c r="E267" i="1"/>
  <c r="F267" i="1" s="1"/>
  <c r="G267" i="1" s="1"/>
  <c r="E266" i="1"/>
  <c r="E265" i="1"/>
  <c r="E264" i="1"/>
  <c r="F264" i="1" s="1"/>
  <c r="G264" i="1" s="1"/>
  <c r="E263" i="1"/>
  <c r="F263" i="1" s="1"/>
  <c r="G263" i="1" s="1"/>
  <c r="E262" i="1"/>
  <c r="F262" i="1" s="1"/>
  <c r="G262" i="1" s="1"/>
  <c r="E261" i="1"/>
  <c r="F261" i="1" s="1"/>
  <c r="G261" i="1" s="1"/>
  <c r="E260" i="1"/>
  <c r="F260" i="1" s="1"/>
  <c r="G260" i="1" s="1"/>
  <c r="E259" i="1"/>
  <c r="F259" i="1" s="1"/>
  <c r="G259" i="1" s="1"/>
  <c r="E258" i="1"/>
  <c r="F258" i="1" s="1"/>
  <c r="G258" i="1" s="1"/>
  <c r="E257" i="1"/>
  <c r="F257" i="1" s="1"/>
  <c r="G257" i="1" s="1"/>
  <c r="E256" i="1"/>
  <c r="E255" i="1"/>
  <c r="F255" i="1" s="1"/>
  <c r="G255" i="1" s="1"/>
  <c r="E254" i="1"/>
  <c r="F254" i="1" s="1"/>
  <c r="G254" i="1" s="1"/>
  <c r="E253" i="1"/>
  <c r="F253" i="1" s="1"/>
  <c r="E252" i="1"/>
  <c r="F252" i="1" s="1"/>
  <c r="G252" i="1" s="1"/>
  <c r="E251" i="1"/>
  <c r="F251" i="1" s="1"/>
  <c r="G251" i="1" s="1"/>
  <c r="E250" i="1"/>
  <c r="F250" i="1" s="1"/>
  <c r="G250" i="1" s="1"/>
  <c r="E249" i="1"/>
  <c r="F249" i="1" s="1"/>
  <c r="G249" i="1" s="1"/>
  <c r="E248" i="1"/>
  <c r="F248" i="1" s="1"/>
  <c r="G248" i="1" s="1"/>
  <c r="E247" i="1"/>
  <c r="F247" i="1" s="1"/>
  <c r="G247" i="1" s="1"/>
  <c r="E246" i="1"/>
  <c r="F246" i="1" s="1"/>
  <c r="G246" i="1" s="1"/>
  <c r="E245" i="1"/>
  <c r="F245" i="1" s="1"/>
  <c r="G245" i="1" s="1"/>
  <c r="E244" i="1"/>
  <c r="F244" i="1" s="1"/>
  <c r="G244" i="1" s="1"/>
  <c r="E243" i="1"/>
  <c r="F243" i="1" s="1"/>
  <c r="G243" i="1" s="1"/>
  <c r="E242" i="1"/>
  <c r="F242" i="1" s="1"/>
  <c r="G242" i="1" s="1"/>
  <c r="E241" i="1"/>
  <c r="F241" i="1" s="1"/>
  <c r="G241" i="1" s="1"/>
  <c r="E240" i="1"/>
  <c r="F240" i="1" s="1"/>
  <c r="G240" i="1" s="1"/>
  <c r="E239" i="1"/>
  <c r="E238" i="1"/>
  <c r="F238" i="1" s="1"/>
  <c r="G238" i="1" s="1"/>
  <c r="E237" i="1"/>
  <c r="F237" i="1" s="1"/>
  <c r="G237" i="1" s="1"/>
  <c r="E236" i="1"/>
  <c r="F236" i="1" s="1"/>
  <c r="G236" i="1" s="1"/>
  <c r="E235" i="1"/>
  <c r="F235" i="1" s="1"/>
  <c r="G235" i="1" s="1"/>
  <c r="E234" i="1"/>
  <c r="F234" i="1" s="1"/>
  <c r="G234" i="1" s="1"/>
  <c r="E233" i="1"/>
  <c r="F233" i="1" s="1"/>
  <c r="G233" i="1" s="1"/>
  <c r="E232" i="1"/>
  <c r="F232" i="1" s="1"/>
  <c r="G232" i="1" s="1"/>
  <c r="E231" i="1"/>
  <c r="F231" i="1" s="1"/>
  <c r="G231" i="1" s="1"/>
  <c r="E230" i="1"/>
  <c r="F230" i="1" s="1"/>
  <c r="E229" i="1"/>
  <c r="F229" i="1" s="1"/>
  <c r="E228" i="1"/>
  <c r="F228" i="1" s="1"/>
  <c r="G228" i="1" s="1"/>
  <c r="E227" i="1"/>
  <c r="E226" i="1"/>
  <c r="F226" i="1" s="1"/>
  <c r="G226" i="1" s="1"/>
  <c r="E225" i="1"/>
  <c r="F225" i="1" s="1"/>
  <c r="G225" i="1" s="1"/>
  <c r="E224" i="1"/>
  <c r="F224" i="1" s="1"/>
  <c r="G224" i="1" s="1"/>
  <c r="E223" i="1"/>
  <c r="F223" i="1" s="1"/>
  <c r="G223" i="1" s="1"/>
  <c r="E222" i="1"/>
  <c r="F222" i="1" s="1"/>
  <c r="E221" i="1"/>
  <c r="F221" i="1" s="1"/>
  <c r="G221" i="1" s="1"/>
  <c r="E220" i="1"/>
  <c r="F220" i="1" s="1"/>
  <c r="G220" i="1" s="1"/>
  <c r="E219" i="1"/>
  <c r="F219" i="1" s="1"/>
  <c r="G219" i="1" s="1"/>
  <c r="E218" i="1"/>
  <c r="E217" i="1"/>
  <c r="E216" i="1"/>
  <c r="F216" i="1" s="1"/>
  <c r="G216" i="1" s="1"/>
  <c r="E215" i="1"/>
  <c r="F215" i="1" s="1"/>
  <c r="G215" i="1" s="1"/>
  <c r="E214" i="1"/>
  <c r="F214" i="1" s="1"/>
  <c r="G214" i="1" s="1"/>
  <c r="E213" i="1"/>
  <c r="F213" i="1" s="1"/>
  <c r="G213" i="1" s="1"/>
  <c r="E212" i="1"/>
  <c r="F212" i="1" s="1"/>
  <c r="G212" i="1" s="1"/>
  <c r="E211" i="1"/>
  <c r="F211" i="1" s="1"/>
  <c r="G211" i="1" s="1"/>
  <c r="E210" i="1"/>
  <c r="F210" i="1" s="1"/>
  <c r="G210" i="1" s="1"/>
  <c r="E209" i="1"/>
  <c r="F209" i="1" s="1"/>
  <c r="G209" i="1" s="1"/>
  <c r="E208" i="1"/>
  <c r="F208" i="1" s="1"/>
  <c r="G208" i="1" s="1"/>
  <c r="E207" i="1"/>
  <c r="F207" i="1" s="1"/>
  <c r="G207" i="1" s="1"/>
  <c r="E206" i="1"/>
  <c r="F206" i="1" s="1"/>
  <c r="G206" i="1" s="1"/>
  <c r="E205" i="1"/>
  <c r="F205" i="1" s="1"/>
  <c r="G205" i="1" s="1"/>
  <c r="E204" i="1"/>
  <c r="F204" i="1" s="1"/>
  <c r="G204" i="1" s="1"/>
  <c r="E203" i="1"/>
  <c r="F203" i="1" s="1"/>
  <c r="G203" i="1" s="1"/>
  <c r="E202" i="1"/>
  <c r="F202" i="1" s="1"/>
  <c r="G202" i="1" s="1"/>
  <c r="E201" i="1"/>
  <c r="F201" i="1" s="1"/>
  <c r="G201" i="1" s="1"/>
  <c r="E200" i="1"/>
  <c r="F200" i="1" s="1"/>
  <c r="G200" i="1" s="1"/>
  <c r="E199" i="1"/>
  <c r="F199" i="1" s="1"/>
  <c r="G199" i="1" s="1"/>
  <c r="E198" i="1"/>
  <c r="F198" i="1" s="1"/>
  <c r="G198" i="1" s="1"/>
  <c r="E197" i="1"/>
  <c r="F197" i="1" s="1"/>
  <c r="G197" i="1" s="1"/>
  <c r="E196" i="1"/>
  <c r="E195" i="1"/>
  <c r="F195" i="1" s="1"/>
  <c r="G195" i="1" s="1"/>
  <c r="E194" i="1"/>
  <c r="F194" i="1" s="1"/>
  <c r="G194" i="1" s="1"/>
  <c r="E193" i="1"/>
  <c r="F193" i="1" s="1"/>
  <c r="G193" i="1" s="1"/>
  <c r="E192" i="1"/>
  <c r="F192" i="1" s="1"/>
  <c r="G192" i="1" s="1"/>
  <c r="E191" i="1"/>
  <c r="F191" i="1" s="1"/>
  <c r="G191" i="1" s="1"/>
  <c r="E190" i="1"/>
  <c r="F190" i="1" s="1"/>
  <c r="G190" i="1" s="1"/>
  <c r="E189" i="1"/>
  <c r="F189" i="1" s="1"/>
  <c r="G189" i="1" s="1"/>
  <c r="E188" i="1"/>
  <c r="F188" i="1" s="1"/>
  <c r="G188" i="1" s="1"/>
  <c r="E187" i="1"/>
  <c r="F187" i="1" s="1"/>
  <c r="G187" i="1" s="1"/>
  <c r="E186" i="1"/>
  <c r="F186" i="1" s="1"/>
  <c r="G186" i="1" s="1"/>
  <c r="E185" i="1"/>
  <c r="F185" i="1" s="1"/>
  <c r="G185" i="1" s="1"/>
  <c r="E184" i="1"/>
  <c r="F184" i="1" s="1"/>
  <c r="G184" i="1" s="1"/>
  <c r="E183" i="1"/>
  <c r="E182" i="1"/>
  <c r="F182" i="1" s="1"/>
  <c r="G182" i="1" s="1"/>
  <c r="E181" i="1"/>
  <c r="E180" i="1"/>
  <c r="E179" i="1"/>
  <c r="E178" i="1"/>
  <c r="F178" i="1" s="1"/>
  <c r="G178" i="1" s="1"/>
  <c r="E177" i="1"/>
  <c r="F177" i="1" s="1"/>
  <c r="G177" i="1" s="1"/>
  <c r="E176" i="1"/>
  <c r="F176" i="1" s="1"/>
  <c r="G176" i="1" s="1"/>
  <c r="E175" i="1"/>
  <c r="F175" i="1" s="1"/>
  <c r="G175" i="1" s="1"/>
  <c r="E174" i="1"/>
  <c r="F174" i="1" s="1"/>
  <c r="G174" i="1" s="1"/>
  <c r="E173" i="1"/>
  <c r="F173" i="1" s="1"/>
  <c r="G173" i="1" s="1"/>
  <c r="E172" i="1"/>
  <c r="F172" i="1" s="1"/>
  <c r="G172" i="1" s="1"/>
  <c r="E171" i="1"/>
  <c r="F171" i="1" s="1"/>
  <c r="G171" i="1" s="1"/>
  <c r="E170" i="1"/>
  <c r="F170" i="1" s="1"/>
  <c r="G170" i="1" s="1"/>
  <c r="E169" i="1"/>
  <c r="F169" i="1" s="1"/>
  <c r="G169" i="1" s="1"/>
  <c r="E168" i="1"/>
  <c r="F168" i="1" s="1"/>
  <c r="G168" i="1" s="1"/>
  <c r="E167" i="1"/>
  <c r="F167" i="1" s="1"/>
  <c r="G167" i="1" s="1"/>
  <c r="E166" i="1"/>
  <c r="F166" i="1" s="1"/>
  <c r="G166" i="1" s="1"/>
  <c r="E165" i="1"/>
  <c r="F165" i="1" s="1"/>
  <c r="G165" i="1" s="1"/>
  <c r="E164" i="1"/>
  <c r="F164" i="1" s="1"/>
  <c r="G164" i="1" s="1"/>
  <c r="E163" i="1"/>
  <c r="F163" i="1" s="1"/>
  <c r="G163" i="1" s="1"/>
  <c r="E162" i="1"/>
  <c r="F162" i="1" s="1"/>
  <c r="G162" i="1" s="1"/>
  <c r="E161" i="1"/>
  <c r="F161" i="1" s="1"/>
  <c r="G161" i="1" s="1"/>
  <c r="E160" i="1"/>
  <c r="F160" i="1" s="1"/>
  <c r="G160" i="1" s="1"/>
  <c r="E159" i="1"/>
  <c r="F159" i="1" s="1"/>
  <c r="G159" i="1" s="1"/>
  <c r="E158" i="1"/>
  <c r="F158" i="1" s="1"/>
  <c r="G158" i="1" s="1"/>
  <c r="E157" i="1"/>
  <c r="F157" i="1" s="1"/>
  <c r="G157" i="1" s="1"/>
  <c r="E156" i="1"/>
  <c r="F156" i="1" s="1"/>
  <c r="G156" i="1" s="1"/>
  <c r="E155" i="1"/>
  <c r="F155" i="1" s="1"/>
  <c r="E154" i="1"/>
  <c r="F154" i="1" s="1"/>
  <c r="G154" i="1" s="1"/>
  <c r="E153" i="1"/>
  <c r="F153" i="1" s="1"/>
  <c r="G153" i="1" s="1"/>
  <c r="E152" i="1"/>
  <c r="F152" i="1" s="1"/>
  <c r="G152" i="1" s="1"/>
  <c r="E151" i="1"/>
  <c r="F151" i="1" s="1"/>
  <c r="G151" i="1" s="1"/>
  <c r="E150" i="1"/>
  <c r="F150" i="1" s="1"/>
  <c r="G150" i="1" s="1"/>
  <c r="E149" i="1"/>
  <c r="F149" i="1" s="1"/>
  <c r="G149" i="1" s="1"/>
  <c r="E148" i="1"/>
  <c r="F148" i="1" s="1"/>
  <c r="G148" i="1" s="1"/>
  <c r="E147" i="1"/>
  <c r="F147" i="1" s="1"/>
  <c r="G147" i="1" s="1"/>
  <c r="E146" i="1"/>
  <c r="E145" i="1"/>
  <c r="E144" i="1"/>
  <c r="F144" i="1" s="1"/>
  <c r="G144" i="1" s="1"/>
  <c r="E143" i="1"/>
  <c r="F143" i="1" s="1"/>
  <c r="G143" i="1" s="1"/>
  <c r="E142" i="1"/>
  <c r="E141" i="1"/>
  <c r="F141" i="1" s="1"/>
  <c r="G141" i="1" s="1"/>
  <c r="E140" i="1"/>
  <c r="F140" i="1" s="1"/>
  <c r="G140" i="1" s="1"/>
  <c r="E139" i="1"/>
  <c r="F139" i="1" s="1"/>
  <c r="G139" i="1" s="1"/>
  <c r="E138" i="1"/>
  <c r="F138" i="1" s="1"/>
  <c r="G138" i="1" s="1"/>
  <c r="E137" i="1"/>
  <c r="F137" i="1" s="1"/>
  <c r="G137" i="1" s="1"/>
  <c r="E136" i="1"/>
  <c r="F136" i="1" s="1"/>
  <c r="G136" i="1" s="1"/>
  <c r="E135" i="1"/>
  <c r="F135" i="1" s="1"/>
  <c r="G135" i="1" s="1"/>
  <c r="E134" i="1"/>
  <c r="F134" i="1" s="1"/>
  <c r="G134" i="1" s="1"/>
  <c r="E133" i="1"/>
  <c r="F133" i="1" s="1"/>
  <c r="G133" i="1" s="1"/>
  <c r="E132" i="1"/>
  <c r="F132" i="1" s="1"/>
  <c r="G132" i="1" s="1"/>
  <c r="E131" i="1"/>
  <c r="F131" i="1" s="1"/>
  <c r="G131" i="1" s="1"/>
  <c r="E130" i="1"/>
  <c r="F130" i="1" s="1"/>
  <c r="G130" i="1" s="1"/>
  <c r="E129" i="1"/>
  <c r="F129" i="1" s="1"/>
  <c r="G129" i="1" s="1"/>
  <c r="E128" i="1"/>
  <c r="F128" i="1" s="1"/>
  <c r="G128" i="1" s="1"/>
  <c r="E127" i="1"/>
  <c r="F127" i="1" s="1"/>
  <c r="E126" i="1"/>
  <c r="F126" i="1" s="1"/>
  <c r="G126" i="1" s="1"/>
  <c r="E125" i="1"/>
  <c r="F125" i="1" s="1"/>
  <c r="G125" i="1" s="1"/>
  <c r="E124" i="1"/>
  <c r="F124" i="1" s="1"/>
  <c r="G124" i="1" s="1"/>
  <c r="E123" i="1"/>
  <c r="F123" i="1" s="1"/>
  <c r="G123" i="1" s="1"/>
  <c r="E122" i="1"/>
  <c r="F122" i="1" s="1"/>
  <c r="G122" i="1" s="1"/>
  <c r="E121" i="1"/>
  <c r="F121" i="1" s="1"/>
  <c r="G121" i="1" s="1"/>
  <c r="E120" i="1"/>
  <c r="F120" i="1" s="1"/>
  <c r="G120" i="1" s="1"/>
  <c r="E119" i="1"/>
  <c r="F119" i="1" s="1"/>
  <c r="G119" i="1" s="1"/>
  <c r="E118" i="1"/>
  <c r="F118" i="1" s="1"/>
  <c r="G118" i="1" s="1"/>
  <c r="E117" i="1"/>
  <c r="F117" i="1" s="1"/>
  <c r="G117" i="1" s="1"/>
  <c r="E116" i="1"/>
  <c r="F116" i="1" s="1"/>
  <c r="G116" i="1" s="1"/>
  <c r="E115" i="1"/>
  <c r="E114" i="1"/>
  <c r="F114" i="1" s="1"/>
  <c r="G114" i="1" s="1"/>
  <c r="E113" i="1"/>
  <c r="F113" i="1" s="1"/>
  <c r="G113" i="1" s="1"/>
  <c r="E112" i="1"/>
  <c r="F112" i="1" s="1"/>
  <c r="G112" i="1" s="1"/>
  <c r="E111" i="1"/>
  <c r="F111" i="1" s="1"/>
  <c r="G111" i="1" s="1"/>
  <c r="E110" i="1"/>
  <c r="F110" i="1" s="1"/>
  <c r="G110" i="1" s="1"/>
  <c r="E109" i="1"/>
  <c r="F109" i="1" s="1"/>
  <c r="G109" i="1" s="1"/>
  <c r="E108" i="1"/>
  <c r="F108" i="1" s="1"/>
  <c r="G108" i="1" s="1"/>
  <c r="E107" i="1"/>
  <c r="F107" i="1" s="1"/>
  <c r="G107" i="1" s="1"/>
  <c r="E106" i="1"/>
  <c r="F106" i="1" s="1"/>
  <c r="G106" i="1" s="1"/>
  <c r="E105" i="1"/>
  <c r="F105" i="1" s="1"/>
  <c r="G105" i="1" s="1"/>
  <c r="E104" i="1"/>
  <c r="F104" i="1" s="1"/>
  <c r="G104" i="1" s="1"/>
  <c r="E103" i="1"/>
  <c r="F103" i="1" s="1"/>
  <c r="G103" i="1" s="1"/>
  <c r="E102" i="1"/>
  <c r="F102" i="1" s="1"/>
  <c r="G102" i="1" s="1"/>
  <c r="E101" i="1"/>
  <c r="F101" i="1" s="1"/>
  <c r="G101" i="1" s="1"/>
  <c r="E100" i="1"/>
  <c r="F100" i="1" s="1"/>
  <c r="G100" i="1" s="1"/>
  <c r="E99" i="1"/>
  <c r="E98" i="1"/>
  <c r="F98" i="1" s="1"/>
  <c r="G98" i="1" s="1"/>
  <c r="E97" i="1"/>
  <c r="E96" i="1"/>
  <c r="F96" i="1" s="1"/>
  <c r="G96" i="1" s="1"/>
  <c r="E95" i="1"/>
  <c r="F95" i="1" s="1"/>
  <c r="G95" i="1" s="1"/>
  <c r="E94" i="1"/>
  <c r="F94" i="1" s="1"/>
  <c r="G94" i="1" s="1"/>
  <c r="E93" i="1"/>
  <c r="F93" i="1" s="1"/>
  <c r="G93" i="1" s="1"/>
  <c r="E92" i="1"/>
  <c r="E91" i="1"/>
  <c r="F91" i="1" s="1"/>
  <c r="E90" i="1"/>
  <c r="F90" i="1" s="1"/>
  <c r="G90" i="1" s="1"/>
  <c r="E89" i="1"/>
  <c r="F89" i="1" s="1"/>
  <c r="G89" i="1" s="1"/>
  <c r="E88" i="1"/>
  <c r="E87" i="1"/>
  <c r="E86" i="1"/>
  <c r="F86" i="1" s="1"/>
  <c r="G86" i="1" s="1"/>
  <c r="E85" i="1"/>
  <c r="F85" i="1" s="1"/>
  <c r="G85" i="1" s="1"/>
  <c r="E84" i="1"/>
  <c r="F84" i="1" s="1"/>
  <c r="G84" i="1" s="1"/>
  <c r="E83" i="1"/>
  <c r="F83" i="1" s="1"/>
  <c r="G83" i="1" s="1"/>
  <c r="E82" i="1"/>
  <c r="F82" i="1" s="1"/>
  <c r="G82" i="1" s="1"/>
  <c r="E81" i="1"/>
  <c r="F81" i="1" s="1"/>
  <c r="G81" i="1" s="1"/>
  <c r="E80" i="1"/>
  <c r="F80" i="1" s="1"/>
  <c r="G80" i="1" s="1"/>
  <c r="E79" i="1"/>
  <c r="F79" i="1" s="1"/>
  <c r="G79" i="1" s="1"/>
  <c r="E78" i="1"/>
  <c r="F78" i="1" s="1"/>
  <c r="G78" i="1" s="1"/>
  <c r="E77" i="1"/>
  <c r="F77" i="1" s="1"/>
  <c r="G77" i="1" s="1"/>
  <c r="E76" i="1"/>
  <c r="F76" i="1" s="1"/>
  <c r="G76" i="1" s="1"/>
  <c r="E75" i="1"/>
  <c r="F75" i="1" s="1"/>
  <c r="G75" i="1" s="1"/>
  <c r="E74" i="1"/>
  <c r="F74" i="1" s="1"/>
  <c r="G74" i="1" s="1"/>
  <c r="E73" i="1"/>
  <c r="F73" i="1" s="1"/>
  <c r="G73" i="1" s="1"/>
  <c r="E72" i="1"/>
  <c r="F72" i="1" s="1"/>
  <c r="G72" i="1" s="1"/>
  <c r="E71" i="1"/>
  <c r="E70" i="1"/>
  <c r="F70" i="1" s="1"/>
  <c r="G70" i="1" s="1"/>
  <c r="E69" i="1"/>
  <c r="F69" i="1" s="1"/>
  <c r="G69" i="1" s="1"/>
  <c r="E68" i="1"/>
  <c r="F68" i="1" s="1"/>
  <c r="G68" i="1" s="1"/>
  <c r="E67" i="1"/>
  <c r="F67" i="1" s="1"/>
  <c r="G67" i="1" s="1"/>
  <c r="E66" i="1"/>
  <c r="F66" i="1" s="1"/>
  <c r="G66" i="1" s="1"/>
  <c r="E65" i="1"/>
  <c r="F65" i="1" s="1"/>
  <c r="G65" i="1" s="1"/>
  <c r="E64" i="1"/>
  <c r="F64" i="1" s="1"/>
  <c r="G64" i="1" s="1"/>
  <c r="E63" i="1"/>
  <c r="F63" i="1" s="1"/>
  <c r="G63" i="1" s="1"/>
  <c r="E62" i="1"/>
  <c r="E61" i="1"/>
  <c r="F61" i="1" s="1"/>
  <c r="G61" i="1" s="1"/>
  <c r="E60" i="1"/>
  <c r="F60" i="1" s="1"/>
  <c r="G60" i="1" s="1"/>
  <c r="E59" i="1"/>
  <c r="F59" i="1" s="1"/>
  <c r="G59" i="1" s="1"/>
  <c r="E58" i="1"/>
  <c r="E57" i="1"/>
  <c r="E56" i="1"/>
  <c r="F56" i="1" s="1"/>
  <c r="G56" i="1" s="1"/>
  <c r="E55" i="1"/>
  <c r="F55" i="1" s="1"/>
  <c r="G55" i="1" s="1"/>
  <c r="E54" i="1"/>
  <c r="F54" i="1" s="1"/>
  <c r="G54" i="1" s="1"/>
  <c r="E53" i="1"/>
  <c r="F53" i="1" s="1"/>
  <c r="G53" i="1" s="1"/>
  <c r="E52" i="1"/>
  <c r="F52" i="1" s="1"/>
  <c r="G52" i="1" s="1"/>
  <c r="E51" i="1"/>
  <c r="F51" i="1" s="1"/>
  <c r="G51" i="1" s="1"/>
  <c r="E50" i="1"/>
  <c r="F50" i="1" s="1"/>
  <c r="G50" i="1" s="1"/>
  <c r="E49" i="1"/>
  <c r="F49" i="1" s="1"/>
  <c r="G49" i="1" s="1"/>
  <c r="E48" i="1"/>
  <c r="F48" i="1" s="1"/>
  <c r="G48" i="1" s="1"/>
  <c r="E47" i="1"/>
  <c r="F47" i="1" s="1"/>
  <c r="G47" i="1" s="1"/>
  <c r="E46" i="1"/>
  <c r="F46" i="1" s="1"/>
  <c r="G46" i="1" s="1"/>
  <c r="E45" i="1"/>
  <c r="F45" i="1" s="1"/>
  <c r="G45" i="1" s="1"/>
  <c r="E44" i="1"/>
  <c r="F44" i="1" s="1"/>
  <c r="G44" i="1" s="1"/>
  <c r="E43" i="1"/>
  <c r="F43" i="1" s="1"/>
  <c r="G43" i="1" s="1"/>
  <c r="E42" i="1"/>
  <c r="E41" i="1"/>
  <c r="F41" i="1" s="1"/>
  <c r="G41" i="1" s="1"/>
  <c r="E40" i="1"/>
  <c r="F40" i="1" s="1"/>
  <c r="G40" i="1" s="1"/>
  <c r="E39" i="1"/>
  <c r="F39" i="1" s="1"/>
  <c r="G39" i="1" s="1"/>
  <c r="E38" i="1"/>
  <c r="F38" i="1" s="1"/>
  <c r="G38" i="1" s="1"/>
  <c r="E37" i="1"/>
  <c r="F37" i="1" s="1"/>
  <c r="G37" i="1" s="1"/>
  <c r="E36" i="1"/>
  <c r="F36" i="1" s="1"/>
  <c r="G36" i="1" s="1"/>
  <c r="E35" i="1"/>
  <c r="F35" i="1" s="1"/>
  <c r="G35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E28" i="1"/>
  <c r="F28" i="1" s="1"/>
  <c r="G28" i="1" s="1"/>
  <c r="E27" i="1"/>
  <c r="E26" i="1"/>
  <c r="E25" i="1"/>
  <c r="E24" i="1"/>
  <c r="F24" i="1" s="1"/>
  <c r="G24" i="1" s="1"/>
  <c r="E23" i="1"/>
  <c r="F23" i="1" s="1"/>
  <c r="G23" i="1" s="1"/>
  <c r="E22" i="1"/>
  <c r="F22" i="1" s="1"/>
  <c r="G22" i="1" s="1"/>
  <c r="E21" i="1"/>
  <c r="F21" i="1" s="1"/>
  <c r="G21" i="1" s="1"/>
  <c r="E20" i="1"/>
  <c r="F20" i="1" s="1"/>
  <c r="G20" i="1" s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E15" i="1"/>
  <c r="F15" i="1" s="1"/>
  <c r="G15" i="1" s="1"/>
  <c r="E14" i="1"/>
  <c r="F14" i="1" s="1"/>
  <c r="G14" i="1" s="1"/>
  <c r="E13" i="1"/>
  <c r="F13" i="1" s="1"/>
  <c r="G13" i="1" s="1"/>
  <c r="E12" i="1"/>
  <c r="F12" i="1" s="1"/>
  <c r="G12" i="1" s="1"/>
  <c r="E11" i="1"/>
  <c r="F11" i="1" s="1"/>
  <c r="G11" i="1" s="1"/>
  <c r="E10" i="1"/>
  <c r="F10" i="1" s="1"/>
  <c r="G10" i="1" s="1"/>
  <c r="E9" i="1"/>
  <c r="F9" i="1" s="1"/>
  <c r="G9" i="1" s="1"/>
  <c r="E8" i="1"/>
  <c r="F8" i="1" s="1"/>
  <c r="G8" i="1" s="1"/>
  <c r="E7" i="1"/>
  <c r="F7" i="1" s="1"/>
  <c r="G7" i="1" s="1"/>
  <c r="E6" i="1"/>
  <c r="E5" i="1"/>
  <c r="F5" i="1" s="1"/>
  <c r="G5" i="1" s="1"/>
  <c r="E4" i="1"/>
  <c r="F4" i="1" s="1"/>
  <c r="E3" i="1"/>
  <c r="F3" i="1" s="1"/>
  <c r="E2" i="1"/>
  <c r="F2" i="1" s="1"/>
  <c r="G2" i="1" s="1"/>
</calcChain>
</file>

<file path=xl/sharedStrings.xml><?xml version="1.0" encoding="utf-8"?>
<sst xmlns="http://schemas.openxmlformats.org/spreadsheetml/2006/main" count="7" uniqueCount="7">
  <si>
    <t>codigo</t>
  </si>
  <si>
    <t>hl</t>
  </si>
  <si>
    <t>sixpacks</t>
  </si>
  <si>
    <t>six canjeados jun</t>
  </si>
  <si>
    <t>cajas canjeadas</t>
  </si>
  <si>
    <t>CAJAS</t>
  </si>
  <si>
    <t>cajas 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</si>
</sst>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color theme="1"/>
      <name val="Barl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heuserbuschinbev-my.sharepoint.com/personal/andrea_oliva_gmodelo_com_mx/Documents/Daylife%20On%20Premise%20Lead/2026/Meals%202026/Seguimiento%20Canje%20-%20Puntos%20Bees%20Meals%202026.xlsx" TargetMode="External"/><Relationship Id="rId1" Type="http://schemas.openxmlformats.org/officeDocument/2006/relationships/externalLinkPath" Target="https://anheuserbuschinbev-my.sharepoint.com/personal/andrea_oliva_gmodelo_com_mx/Documents/Daylife%20On%20Premise%20Lead/2026/Meals%202026/Seguimiento%20Canje%20-%20Puntos%20Bees%20Meal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Pendiente de Canje"/>
      <sheetName val="Reporte Canjes Meals"/>
      <sheetName val="Hoja1"/>
      <sheetName val="Cajas Query"/>
      <sheetName val="Puntos Actuales"/>
      <sheetName val="Canjes Junio26"/>
      <sheetName val="Canjes Mayo26"/>
      <sheetName val="Base Meals"/>
      <sheetName val="Puntos Repuestos"/>
    </sheetNames>
    <sheetDataSet>
      <sheetData sheetId="0"/>
      <sheetData sheetId="1">
        <row r="2">
          <cell r="F2" t="str">
            <v>REPOSICIONES (PUNTOS EMITIDOS A SIXPACKS)</v>
          </cell>
          <cell r="I2" t="str">
            <v>CANJE DE PUNTOS</v>
          </cell>
        </row>
        <row r="3">
          <cell r="A3" t="str">
            <v>cliente_id</v>
          </cell>
          <cell r="B3" t="str">
            <v>DB</v>
          </cell>
          <cell r="C3" t="str">
            <v>nombre</v>
          </cell>
          <cell r="D3" t="str">
            <v>dirección</v>
          </cell>
          <cell r="E3" t="str">
            <v>gerencia</v>
          </cell>
          <cell r="F3" t="str">
            <v>six repuestos | mayo</v>
          </cell>
          <cell r="G3" t="str">
            <v>six repuestos | jun</v>
          </cell>
          <cell r="H3" t="str">
            <v>six repuestos | totales</v>
          </cell>
          <cell r="I3" t="str">
            <v>six canjeados | mayo</v>
          </cell>
          <cell r="J3" t="str">
            <v>six canjeados | jun</v>
          </cell>
          <cell r="K3" t="str">
            <v>six canjeados | totales</v>
          </cell>
        </row>
        <row r="4">
          <cell r="A4">
            <v>12943833</v>
          </cell>
          <cell r="B4" t="str">
            <v>'12943833',</v>
          </cell>
          <cell r="C4" t="str">
            <v>LA ESCAPADA - MIRAFLORES</v>
          </cell>
          <cell r="D4" t="str">
            <v>PE Dir Lima</v>
          </cell>
          <cell r="E4" t="str">
            <v>PE Ger P1 Lima Centr</v>
          </cell>
          <cell r="F4">
            <v>40</v>
          </cell>
          <cell r="G4">
            <v>114</v>
          </cell>
          <cell r="H4">
            <v>154</v>
          </cell>
          <cell r="I4">
            <v>12</v>
          </cell>
          <cell r="J4">
            <v>48</v>
          </cell>
          <cell r="K4">
            <v>60</v>
          </cell>
        </row>
        <row r="5">
          <cell r="A5">
            <v>13865782</v>
          </cell>
          <cell r="B5" t="str">
            <v>'13865782',</v>
          </cell>
          <cell r="C5" t="str">
            <v>Plaza Mayor Cusco Restobar</v>
          </cell>
          <cell r="D5" t="str">
            <v>PE Dir Sur</v>
          </cell>
          <cell r="E5" t="str">
            <v>PE Ger P3 Cusco</v>
          </cell>
          <cell r="F5">
            <v>16</v>
          </cell>
          <cell r="G5">
            <v>152</v>
          </cell>
          <cell r="H5">
            <v>168</v>
          </cell>
          <cell r="I5">
            <v>0</v>
          </cell>
          <cell r="J5">
            <v>59</v>
          </cell>
          <cell r="K5">
            <v>59</v>
          </cell>
        </row>
        <row r="6">
          <cell r="A6">
            <v>11183444</v>
          </cell>
          <cell r="B6" t="str">
            <v>'11183444',</v>
          </cell>
          <cell r="C6" t="str">
            <v>El Marati</v>
          </cell>
          <cell r="D6" t="str">
            <v>PE Dir Lima</v>
          </cell>
          <cell r="E6" t="str">
            <v>PE Ger P1 Lima Sur</v>
          </cell>
          <cell r="F6">
            <v>22</v>
          </cell>
          <cell r="G6">
            <v>136</v>
          </cell>
          <cell r="H6">
            <v>158</v>
          </cell>
          <cell r="I6">
            <v>0</v>
          </cell>
          <cell r="J6">
            <v>36</v>
          </cell>
          <cell r="K6">
            <v>36</v>
          </cell>
        </row>
        <row r="7">
          <cell r="A7">
            <v>12540983</v>
          </cell>
          <cell r="B7" t="str">
            <v>'12540983',</v>
          </cell>
          <cell r="C7" t="str">
            <v>El Refugio de Mamaine</v>
          </cell>
          <cell r="D7" t="str">
            <v>PE Dir Sur</v>
          </cell>
          <cell r="E7" t="str">
            <v>PE Ger P3 Sur Chico</v>
          </cell>
          <cell r="F7">
            <v>24</v>
          </cell>
          <cell r="G7">
            <v>111</v>
          </cell>
          <cell r="H7">
            <v>135</v>
          </cell>
          <cell r="I7">
            <v>20</v>
          </cell>
          <cell r="J7">
            <v>61</v>
          </cell>
          <cell r="K7">
            <v>81</v>
          </cell>
        </row>
        <row r="8">
          <cell r="A8">
            <v>14439426</v>
          </cell>
          <cell r="B8" t="str">
            <v>'14439426',</v>
          </cell>
          <cell r="C8" t="str">
            <v>A Tu Casa</v>
          </cell>
          <cell r="D8" t="str">
            <v>PE Dir Norte</v>
          </cell>
          <cell r="E8" t="str">
            <v>PE Ger P2 Chiclay Ca</v>
          </cell>
          <cell r="F8">
            <v>32</v>
          </cell>
          <cell r="G8">
            <v>43</v>
          </cell>
          <cell r="H8">
            <v>75</v>
          </cell>
          <cell r="I8">
            <v>12</v>
          </cell>
          <cell r="J8">
            <v>63</v>
          </cell>
          <cell r="K8">
            <v>75</v>
          </cell>
        </row>
        <row r="9">
          <cell r="A9">
            <v>11311728</v>
          </cell>
          <cell r="B9" t="str">
            <v>'11311728',</v>
          </cell>
          <cell r="C9" t="str">
            <v>La Cusqueñita MARCAVALLE</v>
          </cell>
          <cell r="D9" t="str">
            <v>PE Dir Sur</v>
          </cell>
          <cell r="E9" t="str">
            <v>PE Ger P3 Cusco</v>
          </cell>
          <cell r="F9">
            <v>38</v>
          </cell>
          <cell r="G9">
            <v>36</v>
          </cell>
          <cell r="H9">
            <v>74</v>
          </cell>
          <cell r="I9">
            <v>53</v>
          </cell>
          <cell r="J9">
            <v>37</v>
          </cell>
          <cell r="K9">
            <v>90</v>
          </cell>
        </row>
        <row r="10">
          <cell r="A10">
            <v>11583267</v>
          </cell>
          <cell r="B10" t="str">
            <v>'11583267',</v>
          </cell>
          <cell r="C10" t="str">
            <v>CEVICHERIA EL COCINERO</v>
          </cell>
          <cell r="D10" t="str">
            <v>PE Dir Sur</v>
          </cell>
          <cell r="E10" t="str">
            <v>PE Ger P3 Sur Chico</v>
          </cell>
          <cell r="F10">
            <v>22</v>
          </cell>
          <cell r="G10">
            <v>77</v>
          </cell>
          <cell r="H10">
            <v>99</v>
          </cell>
          <cell r="I10">
            <v>22</v>
          </cell>
          <cell r="J10">
            <v>27</v>
          </cell>
          <cell r="K10">
            <v>49</v>
          </cell>
        </row>
        <row r="11">
          <cell r="A11">
            <v>13015819</v>
          </cell>
          <cell r="B11" t="str">
            <v>'13015819',</v>
          </cell>
          <cell r="C11" t="str">
            <v>Entre Patas restaurant&amp;cevicheria av ignacio</v>
          </cell>
          <cell r="D11" t="str">
            <v>PE Dir Norte</v>
          </cell>
          <cell r="E11" t="str">
            <v>PE Ger P2 Tumbes T</v>
          </cell>
          <cell r="F11">
            <v>14</v>
          </cell>
          <cell r="G11">
            <v>83</v>
          </cell>
          <cell r="H11">
            <v>97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14356623</v>
          </cell>
          <cell r="B12" t="str">
            <v>'14356623',</v>
          </cell>
          <cell r="C12" t="str">
            <v>Restaurante raices piuranas</v>
          </cell>
          <cell r="D12" t="str">
            <v>PE Dir Norte</v>
          </cell>
          <cell r="E12" t="str">
            <v>PE Ger P2 Piura</v>
          </cell>
          <cell r="F12">
            <v>23</v>
          </cell>
          <cell r="G12">
            <v>53</v>
          </cell>
          <cell r="H12">
            <v>76</v>
          </cell>
          <cell r="I12">
            <v>0</v>
          </cell>
          <cell r="J12">
            <v>30</v>
          </cell>
          <cell r="K12">
            <v>30</v>
          </cell>
        </row>
        <row r="13">
          <cell r="A13">
            <v>11003562</v>
          </cell>
          <cell r="B13" t="str">
            <v>'11003562',</v>
          </cell>
          <cell r="C13" t="str">
            <v>La cusqueñita CENTENARIO</v>
          </cell>
          <cell r="D13" t="str">
            <v>PE Dir Sur</v>
          </cell>
          <cell r="E13" t="str">
            <v>PE Ger P3 Cusco</v>
          </cell>
          <cell r="F13">
            <v>0</v>
          </cell>
          <cell r="G13">
            <v>78</v>
          </cell>
          <cell r="H13">
            <v>78</v>
          </cell>
          <cell r="I13">
            <v>7</v>
          </cell>
          <cell r="J13">
            <v>104</v>
          </cell>
          <cell r="K13">
            <v>111</v>
          </cell>
        </row>
        <row r="14">
          <cell r="A14">
            <v>13798875</v>
          </cell>
          <cell r="B14" t="str">
            <v>'13798875',</v>
          </cell>
          <cell r="C14" t="str">
            <v>Corte Taurino</v>
          </cell>
          <cell r="D14" t="str">
            <v>PE Dir Sur</v>
          </cell>
          <cell r="E14" t="str">
            <v>PE Ger P3 Sur Chico</v>
          </cell>
          <cell r="F14">
            <v>16</v>
          </cell>
          <cell r="G14">
            <v>61</v>
          </cell>
          <cell r="H14">
            <v>77</v>
          </cell>
          <cell r="I14">
            <v>18</v>
          </cell>
          <cell r="J14">
            <v>38</v>
          </cell>
          <cell r="K14">
            <v>56</v>
          </cell>
        </row>
        <row r="15">
          <cell r="A15">
            <v>12760246</v>
          </cell>
          <cell r="B15" t="str">
            <v>'12760246',</v>
          </cell>
          <cell r="C15" t="str">
            <v>RESTAURANT JHONG</v>
          </cell>
          <cell r="D15" t="str">
            <v>PE Dir Sur</v>
          </cell>
          <cell r="E15" t="str">
            <v>PE Ger P3 Sur Chico</v>
          </cell>
          <cell r="F15">
            <v>23</v>
          </cell>
          <cell r="G15">
            <v>49</v>
          </cell>
          <cell r="H15">
            <v>72</v>
          </cell>
          <cell r="I15">
            <v>24</v>
          </cell>
          <cell r="J15">
            <v>23</v>
          </cell>
          <cell r="K15">
            <v>47</v>
          </cell>
        </row>
        <row r="16">
          <cell r="A16">
            <v>10136372</v>
          </cell>
          <cell r="B16" t="str">
            <v>'10136372',</v>
          </cell>
          <cell r="C16" t="str">
            <v>El cantarito</v>
          </cell>
          <cell r="D16" t="str">
            <v>PE Dir Centro Orient</v>
          </cell>
          <cell r="E16" t="str">
            <v>PE Ger P4 Tarapoto</v>
          </cell>
          <cell r="F16">
            <v>14</v>
          </cell>
          <cell r="G16">
            <v>100</v>
          </cell>
          <cell r="H16">
            <v>114</v>
          </cell>
          <cell r="I16">
            <v>0</v>
          </cell>
          <cell r="J16">
            <v>20</v>
          </cell>
          <cell r="K16">
            <v>20</v>
          </cell>
        </row>
        <row r="17">
          <cell r="A17">
            <v>10176632</v>
          </cell>
          <cell r="B17" t="str">
            <v>'10176632',</v>
          </cell>
          <cell r="C17" t="str">
            <v>PUERTO NUEVO</v>
          </cell>
          <cell r="D17" t="str">
            <v>PE Dir Lima</v>
          </cell>
          <cell r="E17" t="str">
            <v>PE Ger P1 Lima Centr</v>
          </cell>
          <cell r="F17">
            <v>15</v>
          </cell>
          <cell r="G17">
            <v>57</v>
          </cell>
          <cell r="H17">
            <v>72</v>
          </cell>
          <cell r="I17">
            <v>0</v>
          </cell>
          <cell r="J17">
            <v>24</v>
          </cell>
          <cell r="K17">
            <v>24</v>
          </cell>
        </row>
        <row r="18">
          <cell r="A18">
            <v>14238917</v>
          </cell>
          <cell r="B18" t="str">
            <v>'14238917',</v>
          </cell>
          <cell r="C18" t="str">
            <v>Picanteria Señor Chicherio</v>
          </cell>
          <cell r="D18" t="str">
            <v>PE Dir Norte</v>
          </cell>
          <cell r="E18" t="str">
            <v>PE Ger P2 Piura</v>
          </cell>
          <cell r="F18">
            <v>10</v>
          </cell>
          <cell r="G18">
            <v>47</v>
          </cell>
          <cell r="H18">
            <v>57</v>
          </cell>
          <cell r="I18">
            <v>10</v>
          </cell>
          <cell r="J18">
            <v>38</v>
          </cell>
          <cell r="K18">
            <v>48</v>
          </cell>
        </row>
        <row r="19">
          <cell r="A19">
            <v>13877634</v>
          </cell>
          <cell r="B19" t="str">
            <v>'13877634',</v>
          </cell>
          <cell r="C19" t="str">
            <v>El Delfin Dorado</v>
          </cell>
          <cell r="D19" t="str">
            <v>PE Dir Sur</v>
          </cell>
          <cell r="E19" t="str">
            <v>PE Ger P3 Sur Chico</v>
          </cell>
          <cell r="F19">
            <v>12</v>
          </cell>
          <cell r="G19">
            <v>61</v>
          </cell>
          <cell r="H19">
            <v>73</v>
          </cell>
          <cell r="I19">
            <v>16</v>
          </cell>
          <cell r="J19">
            <v>33</v>
          </cell>
          <cell r="K19">
            <v>49</v>
          </cell>
        </row>
        <row r="20">
          <cell r="A20">
            <v>13383103</v>
          </cell>
          <cell r="B20" t="str">
            <v>'13383103',</v>
          </cell>
          <cell r="C20" t="str">
            <v>Restaurante Villa Santa Rosa</v>
          </cell>
          <cell r="D20" t="str">
            <v>PE Dir Sur</v>
          </cell>
          <cell r="E20" t="str">
            <v>PE Ger P3 Ayacucho</v>
          </cell>
          <cell r="F20">
            <v>0</v>
          </cell>
          <cell r="G20">
            <v>50</v>
          </cell>
          <cell r="H20">
            <v>50</v>
          </cell>
          <cell r="I20">
            <v>0</v>
          </cell>
          <cell r="J20">
            <v>0</v>
          </cell>
          <cell r="K20">
            <v>0</v>
          </cell>
        </row>
        <row r="21">
          <cell r="A21">
            <v>14058513</v>
          </cell>
          <cell r="B21" t="str">
            <v>'14058513',</v>
          </cell>
          <cell r="C21" t="str">
            <v>EL Cuadro Restobar</v>
          </cell>
          <cell r="D21" t="str">
            <v>PE Dir Sur</v>
          </cell>
          <cell r="E21" t="str">
            <v>PE Ger P3 Cusco</v>
          </cell>
          <cell r="F21">
            <v>20</v>
          </cell>
          <cell r="G21">
            <v>39</v>
          </cell>
          <cell r="H21">
            <v>59</v>
          </cell>
          <cell r="I21">
            <v>12</v>
          </cell>
          <cell r="J21">
            <v>16</v>
          </cell>
          <cell r="K21">
            <v>28</v>
          </cell>
        </row>
        <row r="22">
          <cell r="A22">
            <v>14236739</v>
          </cell>
          <cell r="B22" t="str">
            <v>'14236739',</v>
          </cell>
          <cell r="C22" t="str">
            <v>Rest El Cholololo Arequipeño</v>
          </cell>
          <cell r="D22" t="str">
            <v>PE Dir Lima</v>
          </cell>
          <cell r="E22" t="str">
            <v>PE Ger P1 Lima Norte</v>
          </cell>
          <cell r="F22">
            <v>8</v>
          </cell>
          <cell r="G22">
            <v>55</v>
          </cell>
          <cell r="H22">
            <v>63</v>
          </cell>
          <cell r="I22">
            <v>8</v>
          </cell>
          <cell r="J22">
            <v>61</v>
          </cell>
          <cell r="K22">
            <v>69</v>
          </cell>
        </row>
        <row r="23">
          <cell r="A23">
            <v>13186664</v>
          </cell>
          <cell r="B23" t="str">
            <v>'13186664',</v>
          </cell>
          <cell r="C23" t="str">
            <v>Sabor Tumbesino</v>
          </cell>
          <cell r="D23" t="str">
            <v>PE Dir Norte</v>
          </cell>
          <cell r="E23" t="str">
            <v>PE Ger P2 Tumbes T</v>
          </cell>
          <cell r="F23">
            <v>6</v>
          </cell>
          <cell r="G23">
            <v>38</v>
          </cell>
          <cell r="H23">
            <v>44</v>
          </cell>
          <cell r="I23">
            <v>7</v>
          </cell>
          <cell r="J23">
            <v>24</v>
          </cell>
          <cell r="K23">
            <v>31</v>
          </cell>
        </row>
        <row r="24">
          <cell r="A24">
            <v>10270418</v>
          </cell>
          <cell r="B24" t="str">
            <v>'10270418',</v>
          </cell>
          <cell r="C24" t="str">
            <v>Restaurante Las Flores</v>
          </cell>
          <cell r="D24" t="str">
            <v>PE Dir Sur</v>
          </cell>
          <cell r="E24" t="str">
            <v>PE Ger P3 Ayacucho</v>
          </cell>
          <cell r="F24">
            <v>14</v>
          </cell>
          <cell r="G24">
            <v>42</v>
          </cell>
          <cell r="H24">
            <v>56</v>
          </cell>
          <cell r="I24">
            <v>15</v>
          </cell>
          <cell r="J24">
            <v>22</v>
          </cell>
          <cell r="K24">
            <v>37</v>
          </cell>
        </row>
        <row r="25">
          <cell r="A25">
            <v>14194917</v>
          </cell>
          <cell r="B25" t="str">
            <v>'14194917',</v>
          </cell>
          <cell r="C25" t="str">
            <v>Gustitos Marinos</v>
          </cell>
          <cell r="D25" t="str">
            <v>PE Dir Centro Orient</v>
          </cell>
          <cell r="E25" t="str">
            <v>PE Ger P4 Tarapoto</v>
          </cell>
          <cell r="F25">
            <v>9</v>
          </cell>
          <cell r="G25">
            <v>57</v>
          </cell>
          <cell r="H25">
            <v>66</v>
          </cell>
          <cell r="I25">
            <v>0</v>
          </cell>
          <cell r="J25">
            <v>4</v>
          </cell>
          <cell r="K25">
            <v>4</v>
          </cell>
        </row>
        <row r="26">
          <cell r="A26">
            <v>14298102</v>
          </cell>
          <cell r="B26" t="str">
            <v>'14298102',</v>
          </cell>
          <cell r="C26" t="str">
            <v>Cevichería El Buzo</v>
          </cell>
          <cell r="D26" t="str">
            <v>PE Dir Norte</v>
          </cell>
          <cell r="E26" t="str">
            <v>PE Ger P2 Ancash</v>
          </cell>
          <cell r="F26">
            <v>15</v>
          </cell>
          <cell r="G26">
            <v>48</v>
          </cell>
          <cell r="H26">
            <v>63</v>
          </cell>
          <cell r="I26">
            <v>8</v>
          </cell>
          <cell r="J26">
            <v>0</v>
          </cell>
          <cell r="K26">
            <v>8</v>
          </cell>
        </row>
        <row r="27">
          <cell r="A27">
            <v>13798899</v>
          </cell>
          <cell r="B27" t="str">
            <v>'13798899',</v>
          </cell>
          <cell r="C27" t="str">
            <v>Donde Nunes</v>
          </cell>
          <cell r="D27" t="str">
            <v>PE Dir Lima</v>
          </cell>
          <cell r="E27" t="str">
            <v>PE Ger P1 Lima Sur</v>
          </cell>
          <cell r="F27">
            <v>4</v>
          </cell>
          <cell r="G27">
            <v>47</v>
          </cell>
          <cell r="H27">
            <v>51</v>
          </cell>
          <cell r="I27">
            <v>0</v>
          </cell>
          <cell r="J27">
            <v>0</v>
          </cell>
          <cell r="K27">
            <v>0</v>
          </cell>
        </row>
        <row r="28">
          <cell r="A28">
            <v>13540753</v>
          </cell>
          <cell r="B28" t="str">
            <v>'13540753',</v>
          </cell>
          <cell r="C28" t="str">
            <v>Hallpa Restaurante</v>
          </cell>
          <cell r="D28" t="str">
            <v>PE Dir Sur</v>
          </cell>
          <cell r="E28" t="str">
            <v>PE Ger P3 Cusco</v>
          </cell>
          <cell r="F28">
            <v>16</v>
          </cell>
          <cell r="G28">
            <v>25</v>
          </cell>
          <cell r="H28">
            <v>41</v>
          </cell>
          <cell r="I28">
            <v>0</v>
          </cell>
          <cell r="J28">
            <v>12</v>
          </cell>
          <cell r="K28">
            <v>12</v>
          </cell>
        </row>
        <row r="29">
          <cell r="A29">
            <v>13888859</v>
          </cell>
          <cell r="B29" t="str">
            <v>'13888859',</v>
          </cell>
          <cell r="C29" t="str">
            <v>Choza Náutica huacho</v>
          </cell>
          <cell r="D29" t="str">
            <v>PE Dir Lima</v>
          </cell>
          <cell r="E29" t="str">
            <v>PE Ger P1 Norte Chi</v>
          </cell>
          <cell r="F29">
            <v>12</v>
          </cell>
          <cell r="G29">
            <v>41</v>
          </cell>
          <cell r="H29">
            <v>53</v>
          </cell>
          <cell r="I29">
            <v>12</v>
          </cell>
          <cell r="J29">
            <v>11</v>
          </cell>
          <cell r="K29">
            <v>23</v>
          </cell>
        </row>
        <row r="30">
          <cell r="A30">
            <v>11184136</v>
          </cell>
          <cell r="B30" t="str">
            <v>'11184136',</v>
          </cell>
          <cell r="C30" t="str">
            <v>Restaurant Rincón Carhuacino</v>
          </cell>
          <cell r="D30" t="str">
            <v>PE Dir Lima</v>
          </cell>
          <cell r="E30" t="str">
            <v>PE Ger P1 Lima Norte</v>
          </cell>
          <cell r="F30">
            <v>6</v>
          </cell>
          <cell r="G30">
            <v>52</v>
          </cell>
          <cell r="H30">
            <v>58</v>
          </cell>
          <cell r="I30">
            <v>6</v>
          </cell>
          <cell r="J30">
            <v>0</v>
          </cell>
          <cell r="K30">
            <v>6</v>
          </cell>
        </row>
        <row r="31">
          <cell r="A31">
            <v>14040276</v>
          </cell>
          <cell r="B31" t="str">
            <v>'14040276',</v>
          </cell>
          <cell r="C31" t="str">
            <v>Las delicias del Mar</v>
          </cell>
          <cell r="D31" t="str">
            <v>PE Dir Norte</v>
          </cell>
          <cell r="E31" t="str">
            <v>PE Ger P2 Tumbes T</v>
          </cell>
          <cell r="F31">
            <v>20</v>
          </cell>
          <cell r="G31">
            <v>39</v>
          </cell>
          <cell r="H31">
            <v>59</v>
          </cell>
          <cell r="I31">
            <v>12</v>
          </cell>
          <cell r="J31">
            <v>0</v>
          </cell>
          <cell r="K31">
            <v>12</v>
          </cell>
        </row>
        <row r="32">
          <cell r="A32">
            <v>10085760</v>
          </cell>
          <cell r="B32" t="str">
            <v>'10085760',</v>
          </cell>
          <cell r="C32" t="str">
            <v>Rest Huancahuasi</v>
          </cell>
          <cell r="D32" t="str">
            <v>PE Dir Centro Orient</v>
          </cell>
          <cell r="E32" t="str">
            <v>PE Ger P4 Huancay Ch</v>
          </cell>
          <cell r="F32">
            <v>14</v>
          </cell>
          <cell r="G32">
            <v>32</v>
          </cell>
          <cell r="H32">
            <v>46</v>
          </cell>
          <cell r="I32">
            <v>12</v>
          </cell>
          <cell r="J32">
            <v>12</v>
          </cell>
          <cell r="K32">
            <v>24</v>
          </cell>
        </row>
        <row r="33">
          <cell r="A33">
            <v>14048656</v>
          </cell>
          <cell r="B33" t="str">
            <v>'14048656',</v>
          </cell>
          <cell r="C33" t="str">
            <v>Cevicheria Punto 10</v>
          </cell>
          <cell r="D33" t="str">
            <v>PE Dir Norte</v>
          </cell>
          <cell r="E33" t="str">
            <v>PE Ger P2 Piura</v>
          </cell>
          <cell r="F33">
            <v>7</v>
          </cell>
          <cell r="G33">
            <v>45</v>
          </cell>
          <cell r="H33">
            <v>52</v>
          </cell>
          <cell r="I33">
            <v>0</v>
          </cell>
          <cell r="J33">
            <v>6</v>
          </cell>
          <cell r="K33">
            <v>6</v>
          </cell>
        </row>
        <row r="34">
          <cell r="A34">
            <v>10066651</v>
          </cell>
          <cell r="B34" t="str">
            <v>'10066651',</v>
          </cell>
          <cell r="C34" t="str">
            <v>MORENA DE ORO</v>
          </cell>
          <cell r="D34" t="str">
            <v>PE Dir Norte</v>
          </cell>
          <cell r="E34" t="str">
            <v>PE Ger P2 Trujillo</v>
          </cell>
          <cell r="F34">
            <v>16</v>
          </cell>
          <cell r="G34">
            <v>32</v>
          </cell>
          <cell r="H34">
            <v>48</v>
          </cell>
          <cell r="I34">
            <v>4</v>
          </cell>
          <cell r="J34">
            <v>16</v>
          </cell>
          <cell r="K34">
            <v>20</v>
          </cell>
        </row>
        <row r="35">
          <cell r="A35">
            <v>10025322</v>
          </cell>
          <cell r="B35" t="str">
            <v>'10025322',</v>
          </cell>
          <cell r="C35" t="str">
            <v>Restaurante Cantarito de oro</v>
          </cell>
          <cell r="D35" t="str">
            <v>PE Dir Norte</v>
          </cell>
          <cell r="E35" t="str">
            <v>PE Ger P2 Piura</v>
          </cell>
          <cell r="F35">
            <v>0</v>
          </cell>
          <cell r="G35">
            <v>54</v>
          </cell>
          <cell r="H35">
            <v>54</v>
          </cell>
          <cell r="I35">
            <v>0</v>
          </cell>
          <cell r="J35">
            <v>48</v>
          </cell>
          <cell r="K35">
            <v>48</v>
          </cell>
        </row>
        <row r="36">
          <cell r="A36">
            <v>14342676</v>
          </cell>
          <cell r="B36" t="str">
            <v>'14342676',</v>
          </cell>
          <cell r="C36" t="str">
            <v>ENTRE REDES</v>
          </cell>
          <cell r="D36" t="str">
            <v>PE Dir Sur</v>
          </cell>
          <cell r="E36" t="str">
            <v>PE Ger P3 Sur Chico</v>
          </cell>
          <cell r="F36">
            <v>13</v>
          </cell>
          <cell r="G36">
            <v>38</v>
          </cell>
          <cell r="H36">
            <v>51</v>
          </cell>
          <cell r="I36">
            <v>21</v>
          </cell>
          <cell r="J36">
            <v>17</v>
          </cell>
          <cell r="K36">
            <v>38</v>
          </cell>
        </row>
        <row r="37">
          <cell r="A37">
            <v>11541221</v>
          </cell>
          <cell r="B37" t="str">
            <v>'11541221',</v>
          </cell>
          <cell r="C37" t="str">
            <v>Cantarito de oro</v>
          </cell>
          <cell r="D37" t="str">
            <v>PE Dir Norte</v>
          </cell>
          <cell r="E37" t="str">
            <v>PE Ger P2 Piura</v>
          </cell>
          <cell r="F37">
            <v>8</v>
          </cell>
          <cell r="G37">
            <v>45</v>
          </cell>
          <cell r="H37">
            <v>53</v>
          </cell>
          <cell r="I37">
            <v>8</v>
          </cell>
          <cell r="J37">
            <v>40</v>
          </cell>
          <cell r="K37">
            <v>48</v>
          </cell>
        </row>
        <row r="38">
          <cell r="A38">
            <v>10125192</v>
          </cell>
          <cell r="B38" t="str">
            <v>'10125192',</v>
          </cell>
          <cell r="C38" t="str">
            <v>Concha Marina</v>
          </cell>
          <cell r="D38" t="str">
            <v>PE Dir Norte</v>
          </cell>
          <cell r="E38" t="str">
            <v>PE Ger P2 Chiclay Ca</v>
          </cell>
          <cell r="F38">
            <v>6</v>
          </cell>
          <cell r="G38">
            <v>35</v>
          </cell>
          <cell r="H38">
            <v>41</v>
          </cell>
          <cell r="I38">
            <v>6</v>
          </cell>
          <cell r="J38">
            <v>30</v>
          </cell>
          <cell r="K38">
            <v>36</v>
          </cell>
        </row>
        <row r="39">
          <cell r="A39">
            <v>12762279</v>
          </cell>
          <cell r="B39" t="str">
            <v>'12762279',</v>
          </cell>
          <cell r="C39" t="str">
            <v>Rinconcito amanzonico</v>
          </cell>
          <cell r="D39" t="str">
            <v>PE Dir Norte</v>
          </cell>
          <cell r="E39" t="str">
            <v>PE Ger P2 Piura</v>
          </cell>
          <cell r="F39">
            <v>10</v>
          </cell>
          <cell r="G39">
            <v>32</v>
          </cell>
          <cell r="H39">
            <v>42</v>
          </cell>
          <cell r="I39">
            <v>0</v>
          </cell>
          <cell r="J39">
            <v>0</v>
          </cell>
          <cell r="K39">
            <v>0</v>
          </cell>
        </row>
        <row r="40">
          <cell r="A40">
            <v>13172427</v>
          </cell>
          <cell r="B40" t="str">
            <v>'13172427',</v>
          </cell>
          <cell r="C40" t="str">
            <v>La Casita Nautica</v>
          </cell>
          <cell r="D40" t="str">
            <v>PE Dir Norte</v>
          </cell>
          <cell r="E40" t="str">
            <v>PE Ger P2 Trujillo</v>
          </cell>
          <cell r="F40">
            <v>14</v>
          </cell>
          <cell r="G40">
            <v>33</v>
          </cell>
          <cell r="H40">
            <v>47</v>
          </cell>
          <cell r="I40">
            <v>14</v>
          </cell>
          <cell r="J40">
            <v>12</v>
          </cell>
          <cell r="K40">
            <v>26</v>
          </cell>
        </row>
        <row r="41">
          <cell r="A41">
            <v>10077684</v>
          </cell>
          <cell r="B41" t="str">
            <v>'10077684',</v>
          </cell>
          <cell r="C41" t="str">
            <v>La Viña de Huber</v>
          </cell>
          <cell r="D41" t="str">
            <v>PE Dir Sur</v>
          </cell>
          <cell r="E41" t="str">
            <v>PE Ger P3 Sur Chico</v>
          </cell>
          <cell r="F41">
            <v>5</v>
          </cell>
          <cell r="G41">
            <v>44</v>
          </cell>
          <cell r="H41">
            <v>49</v>
          </cell>
          <cell r="I41">
            <v>0</v>
          </cell>
          <cell r="J41">
            <v>40</v>
          </cell>
          <cell r="K41">
            <v>40</v>
          </cell>
        </row>
        <row r="42">
          <cell r="A42">
            <v>12805581</v>
          </cell>
          <cell r="B42" t="str">
            <v>'12805581',</v>
          </cell>
          <cell r="C42" t="str">
            <v>El mejillón</v>
          </cell>
          <cell r="D42" t="str">
            <v>PE Dir Centro Orient</v>
          </cell>
          <cell r="E42" t="str">
            <v>PE Ger P4 Huancay Ch</v>
          </cell>
          <cell r="F42">
            <v>5</v>
          </cell>
          <cell r="G42">
            <v>33</v>
          </cell>
          <cell r="H42">
            <v>38</v>
          </cell>
          <cell r="I42">
            <v>5</v>
          </cell>
          <cell r="J42">
            <v>28</v>
          </cell>
          <cell r="K42">
            <v>33</v>
          </cell>
        </row>
        <row r="43">
          <cell r="A43">
            <v>12579242</v>
          </cell>
          <cell r="B43" t="str">
            <v>'12579242',</v>
          </cell>
          <cell r="C43" t="str">
            <v>Fuego, Burgers and Barbecue Restaurant</v>
          </cell>
          <cell r="D43" t="str">
            <v>PE Dir Sur</v>
          </cell>
          <cell r="E43" t="str">
            <v>PE Ger P3 Cusco</v>
          </cell>
          <cell r="F43">
            <v>7</v>
          </cell>
          <cell r="G43">
            <v>37</v>
          </cell>
          <cell r="H43">
            <v>44</v>
          </cell>
          <cell r="I43">
            <v>0</v>
          </cell>
          <cell r="J43">
            <v>22</v>
          </cell>
          <cell r="K43">
            <v>22</v>
          </cell>
        </row>
        <row r="44">
          <cell r="A44">
            <v>12125370</v>
          </cell>
          <cell r="B44" t="str">
            <v>'12125370',</v>
          </cell>
          <cell r="C44" t="str">
            <v>Papi rico norteño_Canto grande</v>
          </cell>
          <cell r="D44" t="str">
            <v>PE Dir Lima</v>
          </cell>
          <cell r="E44" t="str">
            <v>PE Ger P1 Lima Centr</v>
          </cell>
          <cell r="F44">
            <v>0</v>
          </cell>
          <cell r="G44">
            <v>48</v>
          </cell>
          <cell r="H44">
            <v>48</v>
          </cell>
          <cell r="I44">
            <v>1</v>
          </cell>
          <cell r="J44">
            <v>28</v>
          </cell>
          <cell r="K44">
            <v>29</v>
          </cell>
        </row>
        <row r="45">
          <cell r="A45">
            <v>14317187</v>
          </cell>
          <cell r="B45" t="str">
            <v>'14317187',</v>
          </cell>
          <cell r="C45" t="str">
            <v>Mistura Grill Cusco</v>
          </cell>
          <cell r="D45" t="str">
            <v>PE Dir Sur</v>
          </cell>
          <cell r="E45" t="str">
            <v>PE Ger P3 Cusco</v>
          </cell>
          <cell r="F45">
            <v>0</v>
          </cell>
          <cell r="G45">
            <v>43</v>
          </cell>
          <cell r="H45">
            <v>43</v>
          </cell>
          <cell r="I45">
            <v>4</v>
          </cell>
          <cell r="J45">
            <v>28</v>
          </cell>
          <cell r="K45">
            <v>32</v>
          </cell>
        </row>
        <row r="46">
          <cell r="A46">
            <v>14372170</v>
          </cell>
          <cell r="B46" t="str">
            <v>'14372170',</v>
          </cell>
          <cell r="C46" t="str">
            <v>KANTUS CHIKEN BAR</v>
          </cell>
          <cell r="D46" t="str">
            <v>PE Dir Sur</v>
          </cell>
          <cell r="E46" t="str">
            <v>PE Ger P3 Sur Chico</v>
          </cell>
          <cell r="F46">
            <v>5</v>
          </cell>
          <cell r="G46">
            <v>39</v>
          </cell>
          <cell r="H46">
            <v>44</v>
          </cell>
          <cell r="I46">
            <v>10</v>
          </cell>
          <cell r="J46">
            <v>13</v>
          </cell>
          <cell r="K46">
            <v>23</v>
          </cell>
        </row>
        <row r="47">
          <cell r="A47">
            <v>14388057</v>
          </cell>
          <cell r="B47" t="str">
            <v>'14388057',</v>
          </cell>
          <cell r="C47" t="str">
            <v>Restaurant &amp; Cevicheria Yovany</v>
          </cell>
          <cell r="D47" t="str">
            <v>PE Dir Norte</v>
          </cell>
          <cell r="E47" t="str">
            <v>PE Ger P2 Piura</v>
          </cell>
          <cell r="F47">
            <v>4</v>
          </cell>
          <cell r="G47">
            <v>42</v>
          </cell>
          <cell r="H47">
            <v>46</v>
          </cell>
          <cell r="I47">
            <v>0</v>
          </cell>
          <cell r="J47">
            <v>0</v>
          </cell>
          <cell r="K47">
            <v>0</v>
          </cell>
        </row>
        <row r="48">
          <cell r="A48">
            <v>12646290</v>
          </cell>
          <cell r="B48" t="str">
            <v>'12646290',</v>
          </cell>
          <cell r="C48" t="str">
            <v>Restaurant cevichería las tinajas</v>
          </cell>
          <cell r="D48" t="str">
            <v>PE Dir Norte</v>
          </cell>
          <cell r="E48" t="str">
            <v>PE Ger P2 Piura</v>
          </cell>
          <cell r="F48">
            <v>7</v>
          </cell>
          <cell r="G48">
            <v>30</v>
          </cell>
          <cell r="H48">
            <v>37</v>
          </cell>
          <cell r="I48">
            <v>0</v>
          </cell>
          <cell r="J48">
            <v>0</v>
          </cell>
          <cell r="K48">
            <v>0</v>
          </cell>
        </row>
        <row r="49">
          <cell r="A49">
            <v>13408204</v>
          </cell>
          <cell r="B49" t="str">
            <v>'13408204',</v>
          </cell>
          <cell r="C49" t="str">
            <v>EL ROJO PICANTE</v>
          </cell>
          <cell r="D49" t="str">
            <v>PE Dir Sur</v>
          </cell>
          <cell r="E49" t="str">
            <v>PE Ger P3 Sur Chico</v>
          </cell>
          <cell r="F49">
            <v>8</v>
          </cell>
          <cell r="G49">
            <v>36</v>
          </cell>
          <cell r="H49">
            <v>44</v>
          </cell>
          <cell r="I49">
            <v>8</v>
          </cell>
          <cell r="J49">
            <v>20</v>
          </cell>
          <cell r="K49">
            <v>28</v>
          </cell>
        </row>
        <row r="50">
          <cell r="A50">
            <v>11057686</v>
          </cell>
          <cell r="B50" t="str">
            <v>'11057686',</v>
          </cell>
          <cell r="C50" t="str">
            <v>Caballito de Mar</v>
          </cell>
          <cell r="D50" t="str">
            <v>PE Dir Norte</v>
          </cell>
          <cell r="E50" t="str">
            <v>PE Ger P2 Ancash</v>
          </cell>
          <cell r="F50">
            <v>9</v>
          </cell>
          <cell r="G50">
            <v>18</v>
          </cell>
          <cell r="H50">
            <v>27</v>
          </cell>
          <cell r="I50">
            <v>0</v>
          </cell>
          <cell r="J50">
            <v>0</v>
          </cell>
          <cell r="K50">
            <v>0</v>
          </cell>
        </row>
        <row r="51">
          <cell r="A51">
            <v>12844732</v>
          </cell>
          <cell r="B51" t="str">
            <v>'12844732',</v>
          </cell>
          <cell r="C51" t="str">
            <v>Restaurante y Cevicheria Ceferina</v>
          </cell>
          <cell r="D51" t="str">
            <v>PE Dir Norte</v>
          </cell>
          <cell r="E51" t="str">
            <v>PE Ger P2 Piura</v>
          </cell>
          <cell r="F51">
            <v>5</v>
          </cell>
          <cell r="G51">
            <v>28</v>
          </cell>
          <cell r="H51">
            <v>33</v>
          </cell>
          <cell r="I51">
            <v>0</v>
          </cell>
          <cell r="J51">
            <v>0</v>
          </cell>
          <cell r="K51">
            <v>0</v>
          </cell>
        </row>
        <row r="52">
          <cell r="A52">
            <v>10108293</v>
          </cell>
          <cell r="B52" t="str">
            <v>'10108293',</v>
          </cell>
          <cell r="C52" t="str">
            <v>CHCHA</v>
          </cell>
          <cell r="D52" t="str">
            <v>PE Dir Sur</v>
          </cell>
          <cell r="E52" t="str">
            <v>PE Ger P3 Cusco</v>
          </cell>
          <cell r="F52">
            <v>5</v>
          </cell>
          <cell r="G52">
            <v>49</v>
          </cell>
          <cell r="H52">
            <v>54</v>
          </cell>
          <cell r="I52">
            <v>0</v>
          </cell>
          <cell r="J52">
            <v>31</v>
          </cell>
          <cell r="K52">
            <v>31</v>
          </cell>
        </row>
        <row r="53">
          <cell r="A53">
            <v>14230273</v>
          </cell>
          <cell r="B53" t="str">
            <v>'14230273',</v>
          </cell>
          <cell r="C53" t="str">
            <v>Warike Criollo Cayma</v>
          </cell>
          <cell r="D53" t="str">
            <v>PE Dir Sur</v>
          </cell>
          <cell r="E53" t="str">
            <v>PE Ger P3 Arequipa</v>
          </cell>
          <cell r="F53">
            <v>15</v>
          </cell>
          <cell r="G53">
            <v>23</v>
          </cell>
          <cell r="H53">
            <v>38</v>
          </cell>
          <cell r="I53">
            <v>0</v>
          </cell>
          <cell r="J53">
            <v>0</v>
          </cell>
          <cell r="K53">
            <v>0</v>
          </cell>
        </row>
        <row r="54">
          <cell r="A54">
            <v>12765813</v>
          </cell>
          <cell r="B54" t="str">
            <v>'12765813',</v>
          </cell>
          <cell r="C54" t="str">
            <v>Barlovento</v>
          </cell>
          <cell r="D54" t="str">
            <v>PE Dir Sur</v>
          </cell>
          <cell r="E54" t="str">
            <v>PE Ger P3 Sur Chico</v>
          </cell>
          <cell r="F54">
            <v>4</v>
          </cell>
          <cell r="G54">
            <v>30</v>
          </cell>
          <cell r="H54">
            <v>34</v>
          </cell>
          <cell r="I54">
            <v>4</v>
          </cell>
          <cell r="J54">
            <v>21</v>
          </cell>
          <cell r="K54">
            <v>25</v>
          </cell>
        </row>
        <row r="55">
          <cell r="A55">
            <v>12508261</v>
          </cell>
          <cell r="B55" t="str">
            <v>'12508261',</v>
          </cell>
          <cell r="C55" t="str">
            <v>La casa del chef</v>
          </cell>
          <cell r="D55" t="str">
            <v>PE Dir Centro Orient</v>
          </cell>
          <cell r="E55" t="str">
            <v>PE Ger P4 Huancay Ch</v>
          </cell>
          <cell r="F55">
            <v>14</v>
          </cell>
          <cell r="G55">
            <v>21</v>
          </cell>
          <cell r="H55">
            <v>35</v>
          </cell>
          <cell r="I55">
            <v>0</v>
          </cell>
          <cell r="J55">
            <v>20</v>
          </cell>
          <cell r="K55">
            <v>20</v>
          </cell>
        </row>
        <row r="56">
          <cell r="A56">
            <v>12702991</v>
          </cell>
          <cell r="B56" t="str">
            <v>'12702991',</v>
          </cell>
          <cell r="C56" t="str">
            <v>Mister Limon</v>
          </cell>
          <cell r="D56" t="str">
            <v>PE Dir Lima</v>
          </cell>
          <cell r="E56" t="str">
            <v>PE Ger P1 Lima Sur</v>
          </cell>
          <cell r="F56">
            <v>6</v>
          </cell>
          <cell r="G56">
            <v>19</v>
          </cell>
          <cell r="H56">
            <v>25</v>
          </cell>
          <cell r="I56">
            <v>6</v>
          </cell>
          <cell r="J56">
            <v>20</v>
          </cell>
          <cell r="K56">
            <v>26</v>
          </cell>
        </row>
        <row r="57">
          <cell r="A57">
            <v>12415786</v>
          </cell>
          <cell r="B57" t="str">
            <v>'12415786',</v>
          </cell>
          <cell r="C57" t="str">
            <v>El coral cevicheria</v>
          </cell>
          <cell r="D57" t="str">
            <v>PE Dir Lima</v>
          </cell>
          <cell r="E57" t="str">
            <v>PE Ger P1 Norte Chi</v>
          </cell>
          <cell r="F57">
            <v>11</v>
          </cell>
          <cell r="G57">
            <v>23</v>
          </cell>
          <cell r="H57">
            <v>34</v>
          </cell>
          <cell r="I57">
            <v>0</v>
          </cell>
          <cell r="J57">
            <v>24</v>
          </cell>
          <cell r="K57">
            <v>24</v>
          </cell>
        </row>
        <row r="58">
          <cell r="A58">
            <v>12162333</v>
          </cell>
          <cell r="B58" t="str">
            <v>'12162333',</v>
          </cell>
          <cell r="C58" t="str">
            <v>El Tumi</v>
          </cell>
          <cell r="D58" t="str">
            <v>PE Dir Norte</v>
          </cell>
          <cell r="E58" t="str">
            <v>PE Ger P2 Chiclay Ca</v>
          </cell>
          <cell r="F58">
            <v>8</v>
          </cell>
          <cell r="G58">
            <v>17</v>
          </cell>
          <cell r="H58">
            <v>25</v>
          </cell>
          <cell r="I58">
            <v>9</v>
          </cell>
          <cell r="J58">
            <v>18</v>
          </cell>
          <cell r="K58">
            <v>27</v>
          </cell>
        </row>
        <row r="59">
          <cell r="A59">
            <v>13520717</v>
          </cell>
          <cell r="B59" t="str">
            <v>'13520717',</v>
          </cell>
          <cell r="C59" t="str">
            <v>Hapya Peruvian Food Experience</v>
          </cell>
          <cell r="D59" t="str">
            <v>PE Dir Sur</v>
          </cell>
          <cell r="E59" t="str">
            <v>PE Ger P3 Cusco</v>
          </cell>
          <cell r="F59">
            <v>6</v>
          </cell>
          <cell r="G59">
            <v>27</v>
          </cell>
          <cell r="H59">
            <v>33</v>
          </cell>
          <cell r="I59">
            <v>5</v>
          </cell>
          <cell r="J59">
            <v>12</v>
          </cell>
          <cell r="K59">
            <v>17</v>
          </cell>
        </row>
        <row r="60">
          <cell r="A60">
            <v>14410722</v>
          </cell>
          <cell r="B60" t="str">
            <v>'14410722',</v>
          </cell>
          <cell r="C60" t="str">
            <v>Picanteria LOS MANGALES</v>
          </cell>
          <cell r="D60" t="str">
            <v>PE Dir Norte</v>
          </cell>
          <cell r="E60" t="str">
            <v>PE Ger P2 Piura</v>
          </cell>
          <cell r="F60">
            <v>9</v>
          </cell>
          <cell r="G60">
            <v>30</v>
          </cell>
          <cell r="H60">
            <v>39</v>
          </cell>
          <cell r="I60">
            <v>0</v>
          </cell>
          <cell r="J60">
            <v>9</v>
          </cell>
          <cell r="K60">
            <v>9</v>
          </cell>
        </row>
        <row r="61">
          <cell r="A61">
            <v>12879788</v>
          </cell>
          <cell r="B61" t="str">
            <v>'12879788',</v>
          </cell>
          <cell r="C61" t="str">
            <v>El huarique norteño</v>
          </cell>
          <cell r="D61" t="str">
            <v>PE Dir Lima</v>
          </cell>
          <cell r="E61" t="str">
            <v>PE Ger P1 Lima Sur</v>
          </cell>
          <cell r="F61">
            <v>8</v>
          </cell>
          <cell r="G61">
            <v>15</v>
          </cell>
          <cell r="H61">
            <v>23</v>
          </cell>
          <cell r="I61">
            <v>8</v>
          </cell>
          <cell r="J61">
            <v>10</v>
          </cell>
          <cell r="K61">
            <v>18</v>
          </cell>
        </row>
        <row r="62">
          <cell r="A62">
            <v>11121718</v>
          </cell>
          <cell r="B62" t="str">
            <v>'11121718',</v>
          </cell>
          <cell r="C62" t="str">
            <v>El Encanto Norteño</v>
          </cell>
          <cell r="D62" t="str">
            <v>PE Dir Lima</v>
          </cell>
          <cell r="E62" t="str">
            <v>PE Ger P1 Lima Sur</v>
          </cell>
          <cell r="F62">
            <v>5</v>
          </cell>
          <cell r="G62">
            <v>27</v>
          </cell>
          <cell r="H62">
            <v>32</v>
          </cell>
          <cell r="I62">
            <v>4</v>
          </cell>
          <cell r="J62">
            <v>18</v>
          </cell>
          <cell r="K62">
            <v>22</v>
          </cell>
        </row>
        <row r="63">
          <cell r="A63">
            <v>11069782</v>
          </cell>
          <cell r="B63" t="str">
            <v>'11069782',</v>
          </cell>
          <cell r="C63" t="str">
            <v>Calle del Medio Restaurante Bar</v>
          </cell>
          <cell r="D63" t="str">
            <v>PE Dir Sur</v>
          </cell>
          <cell r="E63" t="str">
            <v>PE Ger P3 Cusco</v>
          </cell>
          <cell r="F63">
            <v>2</v>
          </cell>
          <cell r="G63">
            <v>31</v>
          </cell>
          <cell r="H63">
            <v>33</v>
          </cell>
          <cell r="I63">
            <v>0</v>
          </cell>
          <cell r="J63">
            <v>14</v>
          </cell>
          <cell r="K63">
            <v>14</v>
          </cell>
        </row>
        <row r="64">
          <cell r="A64">
            <v>14283338</v>
          </cell>
          <cell r="B64" t="str">
            <v>'14283338',</v>
          </cell>
          <cell r="C64" t="str">
            <v>Restobar pescados &amp; parrillas ratuk</v>
          </cell>
          <cell r="D64" t="str">
            <v>PE Dir Norte</v>
          </cell>
          <cell r="E64" t="str">
            <v>PE Ger P2 Piura</v>
          </cell>
          <cell r="F64">
            <v>6</v>
          </cell>
          <cell r="G64">
            <v>29</v>
          </cell>
          <cell r="H64">
            <v>35</v>
          </cell>
          <cell r="I64">
            <v>0</v>
          </cell>
          <cell r="J64">
            <v>0</v>
          </cell>
          <cell r="K64">
            <v>0</v>
          </cell>
        </row>
        <row r="65">
          <cell r="A65">
            <v>13986203</v>
          </cell>
          <cell r="B65" t="str">
            <v>'13986203',</v>
          </cell>
          <cell r="C65" t="str">
            <v>Tiburón Marino</v>
          </cell>
          <cell r="D65" t="str">
            <v>PE Dir Norte</v>
          </cell>
          <cell r="E65" t="str">
            <v>PE Ger P2 Trujillo</v>
          </cell>
          <cell r="F65">
            <v>10</v>
          </cell>
          <cell r="G65">
            <v>15</v>
          </cell>
          <cell r="H65">
            <v>25</v>
          </cell>
          <cell r="I65">
            <v>0</v>
          </cell>
          <cell r="J65">
            <v>0</v>
          </cell>
          <cell r="K65">
            <v>0</v>
          </cell>
        </row>
        <row r="66">
          <cell r="A66">
            <v>10006134</v>
          </cell>
          <cell r="B66" t="str">
            <v>'10006134',</v>
          </cell>
          <cell r="C66" t="str">
            <v>Restaurante picanteria Luchito</v>
          </cell>
          <cell r="D66" t="str">
            <v>PE Dir Norte</v>
          </cell>
          <cell r="E66" t="str">
            <v>PE Ger P2 Chiclay Ca</v>
          </cell>
          <cell r="F66">
            <v>6</v>
          </cell>
          <cell r="G66">
            <v>20</v>
          </cell>
          <cell r="H66">
            <v>26</v>
          </cell>
          <cell r="I66">
            <v>4</v>
          </cell>
          <cell r="J66">
            <v>16</v>
          </cell>
          <cell r="K66">
            <v>20</v>
          </cell>
        </row>
        <row r="67">
          <cell r="A67">
            <v>14325897</v>
          </cell>
          <cell r="B67" t="str">
            <v>'14325897',</v>
          </cell>
          <cell r="C67" t="str">
            <v>Origen - Piurano Lounge</v>
          </cell>
          <cell r="D67" t="str">
            <v>PE Dir Norte</v>
          </cell>
          <cell r="E67" t="str">
            <v>PE Ger P2 Trujillo</v>
          </cell>
          <cell r="F67">
            <v>6</v>
          </cell>
          <cell r="G67">
            <v>19</v>
          </cell>
          <cell r="H67">
            <v>25</v>
          </cell>
          <cell r="I67">
            <v>0</v>
          </cell>
          <cell r="J67">
            <v>17</v>
          </cell>
          <cell r="K67">
            <v>17</v>
          </cell>
        </row>
        <row r="68">
          <cell r="A68">
            <v>11250455</v>
          </cell>
          <cell r="B68" t="str">
            <v>'11250455',</v>
          </cell>
          <cell r="C68" t="str">
            <v>Recreo don cuy</v>
          </cell>
          <cell r="D68" t="str">
            <v>PE Dir Norte</v>
          </cell>
          <cell r="E68" t="str">
            <v>PE Ger P2 Ancash</v>
          </cell>
          <cell r="F68">
            <v>9</v>
          </cell>
          <cell r="G68">
            <v>44</v>
          </cell>
          <cell r="H68">
            <v>53</v>
          </cell>
          <cell r="I68">
            <v>12</v>
          </cell>
          <cell r="J68">
            <v>0</v>
          </cell>
          <cell r="K68">
            <v>12</v>
          </cell>
        </row>
        <row r="69">
          <cell r="A69">
            <v>14318754</v>
          </cell>
          <cell r="B69" t="str">
            <v>'14318754',</v>
          </cell>
          <cell r="C69" t="str">
            <v>Delicia Marina</v>
          </cell>
          <cell r="D69" t="str">
            <v>PE Dir Norte</v>
          </cell>
          <cell r="E69" t="str">
            <v>PE Ger P2 Trujillo</v>
          </cell>
          <cell r="F69">
            <v>4</v>
          </cell>
          <cell r="G69">
            <v>25</v>
          </cell>
          <cell r="H69">
            <v>29</v>
          </cell>
          <cell r="I69">
            <v>4</v>
          </cell>
          <cell r="J69">
            <v>18</v>
          </cell>
          <cell r="K69">
            <v>22</v>
          </cell>
        </row>
        <row r="70">
          <cell r="A70">
            <v>10071934</v>
          </cell>
          <cell r="B70" t="str">
            <v>'10071934',</v>
          </cell>
          <cell r="C70" t="str">
            <v>EL MARINOBAR</v>
          </cell>
          <cell r="D70" t="str">
            <v>PE Dir Norte</v>
          </cell>
          <cell r="E70" t="str">
            <v>PE Ger P2 Ancash</v>
          </cell>
          <cell r="F70">
            <v>10</v>
          </cell>
          <cell r="G70">
            <v>13</v>
          </cell>
          <cell r="H70">
            <v>23</v>
          </cell>
          <cell r="I70">
            <v>12</v>
          </cell>
          <cell r="J70">
            <v>5</v>
          </cell>
          <cell r="K70">
            <v>17</v>
          </cell>
        </row>
        <row r="71">
          <cell r="A71">
            <v>14462400</v>
          </cell>
          <cell r="B71" t="str">
            <v>'14462400',</v>
          </cell>
          <cell r="C71" t="str">
            <v>XIU MEI Cocina Oriental Andina</v>
          </cell>
          <cell r="D71" t="str">
            <v>PE Dir Sur</v>
          </cell>
          <cell r="E71" t="str">
            <v>PE Ger P3 Cusco</v>
          </cell>
          <cell r="F71">
            <v>9</v>
          </cell>
          <cell r="G71">
            <v>22</v>
          </cell>
          <cell r="H71">
            <v>31</v>
          </cell>
          <cell r="I71">
            <v>8</v>
          </cell>
          <cell r="J71">
            <v>24</v>
          </cell>
          <cell r="K71">
            <v>32</v>
          </cell>
        </row>
        <row r="72">
          <cell r="A72">
            <v>13183582</v>
          </cell>
          <cell r="B72" t="str">
            <v>'13183582',</v>
          </cell>
          <cell r="C72" t="str">
            <v>Restaurante Las Gemelas</v>
          </cell>
          <cell r="D72" t="str">
            <v>PE Dir Norte</v>
          </cell>
          <cell r="E72" t="str">
            <v>PE Ger P2 Tumbes T</v>
          </cell>
          <cell r="F72">
            <v>9</v>
          </cell>
          <cell r="G72">
            <v>30</v>
          </cell>
          <cell r="H72">
            <v>39</v>
          </cell>
          <cell r="I72">
            <v>12</v>
          </cell>
          <cell r="J72">
            <v>0</v>
          </cell>
          <cell r="K72">
            <v>12</v>
          </cell>
        </row>
        <row r="73">
          <cell r="A73">
            <v>14274363</v>
          </cell>
          <cell r="B73" t="str">
            <v>'14274363',</v>
          </cell>
          <cell r="C73" t="str">
            <v>Restaurante Club Campestre Santa Fe</v>
          </cell>
          <cell r="D73" t="str">
            <v>PE Dir Norte</v>
          </cell>
          <cell r="E73" t="str">
            <v>PE Ger P2 Piura</v>
          </cell>
          <cell r="F73">
            <v>11</v>
          </cell>
          <cell r="G73">
            <v>21</v>
          </cell>
          <cell r="H73">
            <v>32</v>
          </cell>
          <cell r="I73">
            <v>0</v>
          </cell>
          <cell r="J73">
            <v>0</v>
          </cell>
          <cell r="K73">
            <v>0</v>
          </cell>
        </row>
        <row r="74">
          <cell r="A74">
            <v>10017377</v>
          </cell>
          <cell r="B74" t="str">
            <v>'10017377',</v>
          </cell>
          <cell r="C74" t="str">
            <v>Restaurante Las Terrazas</v>
          </cell>
          <cell r="D74" t="str">
            <v>PE Dir Norte</v>
          </cell>
          <cell r="E74" t="str">
            <v>PE Ger P2 Tumbes T</v>
          </cell>
          <cell r="F74">
            <v>9</v>
          </cell>
          <cell r="G74">
            <v>32</v>
          </cell>
          <cell r="H74">
            <v>41</v>
          </cell>
          <cell r="I74">
            <v>0</v>
          </cell>
          <cell r="J74">
            <v>2</v>
          </cell>
          <cell r="K74">
            <v>2</v>
          </cell>
        </row>
        <row r="75">
          <cell r="A75">
            <v>12732085</v>
          </cell>
          <cell r="B75" t="str">
            <v>'12732085',</v>
          </cell>
          <cell r="C75" t="str">
            <v>El Cevichero de Mala</v>
          </cell>
          <cell r="D75" t="str">
            <v>PE Dir Sur</v>
          </cell>
          <cell r="E75" t="str">
            <v>PE Ger P3 Sur Chico</v>
          </cell>
          <cell r="F75">
            <v>11</v>
          </cell>
          <cell r="G75">
            <v>11</v>
          </cell>
          <cell r="H75">
            <v>22</v>
          </cell>
          <cell r="I75">
            <v>8</v>
          </cell>
          <cell r="J75">
            <v>0</v>
          </cell>
          <cell r="K75">
            <v>8</v>
          </cell>
        </row>
        <row r="76">
          <cell r="A76">
            <v>14177558</v>
          </cell>
          <cell r="B76" t="str">
            <v>'14177558',</v>
          </cell>
          <cell r="C76" t="str">
            <v>Entren que caben cien</v>
          </cell>
          <cell r="D76" t="str">
            <v>PE Dir Lima</v>
          </cell>
          <cell r="E76" t="str">
            <v>PE Ger P1 Lima Sur</v>
          </cell>
          <cell r="F76">
            <v>3</v>
          </cell>
          <cell r="G76">
            <v>29</v>
          </cell>
          <cell r="H76">
            <v>32</v>
          </cell>
          <cell r="I76">
            <v>0</v>
          </cell>
          <cell r="J76">
            <v>12</v>
          </cell>
          <cell r="K76">
            <v>12</v>
          </cell>
        </row>
        <row r="77">
          <cell r="A77">
            <v>13513911</v>
          </cell>
          <cell r="B77" t="str">
            <v>'13513911',</v>
          </cell>
          <cell r="C77" t="str">
            <v>Zumo y Mar</v>
          </cell>
          <cell r="D77" t="str">
            <v>PE Dir Norte</v>
          </cell>
          <cell r="E77" t="str">
            <v>PE Ger P2 Trujillo</v>
          </cell>
          <cell r="F77">
            <v>6</v>
          </cell>
          <cell r="G77">
            <v>16</v>
          </cell>
          <cell r="H77">
            <v>22</v>
          </cell>
          <cell r="I77">
            <v>0</v>
          </cell>
          <cell r="J77">
            <v>23</v>
          </cell>
          <cell r="K77">
            <v>23</v>
          </cell>
        </row>
        <row r="78">
          <cell r="A78">
            <v>13701995</v>
          </cell>
          <cell r="B78" t="str">
            <v>'13701995',</v>
          </cell>
          <cell r="C78" t="str">
            <v>Muelle 29</v>
          </cell>
          <cell r="D78" t="str">
            <v>PE Dir Lima</v>
          </cell>
          <cell r="E78" t="str">
            <v>PE Ger P1 Lima Oeste</v>
          </cell>
          <cell r="F78">
            <v>5</v>
          </cell>
          <cell r="G78">
            <v>31</v>
          </cell>
          <cell r="H78">
            <v>36</v>
          </cell>
          <cell r="I78">
            <v>0</v>
          </cell>
          <cell r="J78">
            <v>26</v>
          </cell>
          <cell r="K78">
            <v>26</v>
          </cell>
        </row>
        <row r="79">
          <cell r="A79">
            <v>13676954</v>
          </cell>
          <cell r="B79" t="str">
            <v>'13676954',</v>
          </cell>
          <cell r="C79" t="str">
            <v>Restaurant Castope</v>
          </cell>
          <cell r="D79" t="str">
            <v>PE Dir Norte</v>
          </cell>
          <cell r="E79" t="str">
            <v>PE Ger P2 Chiclay Ca</v>
          </cell>
          <cell r="F79">
            <v>11</v>
          </cell>
          <cell r="G79">
            <v>12</v>
          </cell>
          <cell r="H79">
            <v>23</v>
          </cell>
          <cell r="I79">
            <v>11</v>
          </cell>
          <cell r="J79">
            <v>12</v>
          </cell>
          <cell r="K79">
            <v>23</v>
          </cell>
        </row>
        <row r="80">
          <cell r="A80">
            <v>12780040</v>
          </cell>
          <cell r="B80" t="str">
            <v>'12780040',</v>
          </cell>
          <cell r="C80" t="str">
            <v>LA SAZON DE GABY</v>
          </cell>
          <cell r="D80" t="str">
            <v>PE Dir Sur</v>
          </cell>
          <cell r="E80" t="str">
            <v>PE Ger P3 Sur Chico</v>
          </cell>
          <cell r="F80">
            <v>4</v>
          </cell>
          <cell r="G80">
            <v>38</v>
          </cell>
          <cell r="H80">
            <v>42</v>
          </cell>
          <cell r="I80">
            <v>4</v>
          </cell>
          <cell r="J80">
            <v>8</v>
          </cell>
          <cell r="K80">
            <v>12</v>
          </cell>
        </row>
        <row r="81">
          <cell r="A81">
            <v>13989504</v>
          </cell>
          <cell r="B81" t="str">
            <v>'13989504',</v>
          </cell>
          <cell r="C81" t="str">
            <v>El rincón de eli</v>
          </cell>
          <cell r="D81" t="str">
            <v>PE Dir Lima</v>
          </cell>
          <cell r="E81" t="str">
            <v>PE Ger P1 Lima Sur</v>
          </cell>
          <cell r="F81">
            <v>7</v>
          </cell>
          <cell r="G81">
            <v>17</v>
          </cell>
          <cell r="H81">
            <v>24</v>
          </cell>
          <cell r="I81">
            <v>0</v>
          </cell>
          <cell r="J81">
            <v>23</v>
          </cell>
          <cell r="K81">
            <v>23</v>
          </cell>
        </row>
        <row r="82">
          <cell r="A82">
            <v>12140306</v>
          </cell>
          <cell r="B82" t="str">
            <v>'12140306',</v>
          </cell>
          <cell r="C82" t="str">
            <v>Mois ceviche  de noche</v>
          </cell>
          <cell r="D82" t="str">
            <v>PE Dir Norte</v>
          </cell>
          <cell r="E82" t="str">
            <v>PE Ger P2 Trujillo</v>
          </cell>
          <cell r="F82">
            <v>12</v>
          </cell>
          <cell r="G82">
            <v>10</v>
          </cell>
          <cell r="H82">
            <v>22</v>
          </cell>
          <cell r="I82">
            <v>0</v>
          </cell>
          <cell r="J82">
            <v>0</v>
          </cell>
          <cell r="K82">
            <v>0</v>
          </cell>
        </row>
        <row r="83">
          <cell r="A83">
            <v>12164753</v>
          </cell>
          <cell r="B83" t="str">
            <v>'12164753',</v>
          </cell>
          <cell r="C83" t="str">
            <v>Rest.cevicheria El Rinconcito Escondido</v>
          </cell>
          <cell r="D83" t="str">
            <v>PE Dir Norte</v>
          </cell>
          <cell r="E83" t="str">
            <v>PE Ger P2 Piura</v>
          </cell>
          <cell r="F83">
            <v>3</v>
          </cell>
          <cell r="G83">
            <v>34</v>
          </cell>
          <cell r="H83">
            <v>37</v>
          </cell>
          <cell r="I83">
            <v>3</v>
          </cell>
          <cell r="J83">
            <v>28</v>
          </cell>
          <cell r="K83">
            <v>31</v>
          </cell>
        </row>
        <row r="84">
          <cell r="A84">
            <v>14223719</v>
          </cell>
          <cell r="B84" t="str">
            <v>'14223719',</v>
          </cell>
          <cell r="C84" t="str">
            <v>Rumba &amp; Sabor Restaurant</v>
          </cell>
          <cell r="D84" t="str">
            <v>PE Dir Norte</v>
          </cell>
          <cell r="E84" t="str">
            <v>PE Ger P2 Chiclay Ca</v>
          </cell>
          <cell r="F84">
            <v>8</v>
          </cell>
          <cell r="G84">
            <v>23</v>
          </cell>
          <cell r="H84">
            <v>31</v>
          </cell>
          <cell r="I84">
            <v>8</v>
          </cell>
          <cell r="J84">
            <v>18</v>
          </cell>
          <cell r="K84">
            <v>26</v>
          </cell>
        </row>
        <row r="85">
          <cell r="A85">
            <v>11112244</v>
          </cell>
          <cell r="B85" t="str">
            <v>'11112244',</v>
          </cell>
          <cell r="C85" t="str">
            <v>Picanteria Peto Moncada</v>
          </cell>
          <cell r="D85" t="str">
            <v>PE Dir Norte</v>
          </cell>
          <cell r="E85" t="str">
            <v>PE Ger P2 Piura</v>
          </cell>
          <cell r="F85">
            <v>5</v>
          </cell>
          <cell r="G85">
            <v>22</v>
          </cell>
          <cell r="H85">
            <v>27</v>
          </cell>
          <cell r="I85">
            <v>4</v>
          </cell>
          <cell r="J85">
            <v>24</v>
          </cell>
          <cell r="K85">
            <v>28</v>
          </cell>
        </row>
        <row r="86">
          <cell r="A86">
            <v>12895340</v>
          </cell>
          <cell r="B86" t="str">
            <v>'12895340',</v>
          </cell>
          <cell r="C86" t="str">
            <v>La fogata norteña</v>
          </cell>
          <cell r="D86" t="str">
            <v>PE Dir Norte</v>
          </cell>
          <cell r="E86" t="str">
            <v>PE Ger P2 Chiclay Ca</v>
          </cell>
          <cell r="F86">
            <v>6</v>
          </cell>
          <cell r="G86">
            <v>12</v>
          </cell>
          <cell r="H86">
            <v>18</v>
          </cell>
          <cell r="I86">
            <v>0</v>
          </cell>
          <cell r="J86">
            <v>12</v>
          </cell>
          <cell r="K86">
            <v>12</v>
          </cell>
        </row>
        <row r="87">
          <cell r="A87">
            <v>10257792</v>
          </cell>
          <cell r="B87" t="str">
            <v>'10257792',</v>
          </cell>
          <cell r="C87" t="str">
            <v>Pedrito</v>
          </cell>
          <cell r="D87" t="str">
            <v>PE Dir Lima</v>
          </cell>
          <cell r="E87" t="str">
            <v>PE Ger P1 Lima Oeste</v>
          </cell>
          <cell r="F87">
            <v>8</v>
          </cell>
          <cell r="G87">
            <v>14</v>
          </cell>
          <cell r="H87">
            <v>22</v>
          </cell>
          <cell r="I87">
            <v>0</v>
          </cell>
          <cell r="J87">
            <v>12</v>
          </cell>
          <cell r="K87">
            <v>12</v>
          </cell>
        </row>
        <row r="88">
          <cell r="A88">
            <v>10278781</v>
          </cell>
          <cell r="B88" t="str">
            <v>'10278781',</v>
          </cell>
          <cell r="C88" t="str">
            <v>Los Cangrejos de piura</v>
          </cell>
          <cell r="D88" t="str">
            <v>PE Dir Sur</v>
          </cell>
          <cell r="E88" t="str">
            <v>PE Ger P3 Cusco</v>
          </cell>
          <cell r="F88">
            <v>8</v>
          </cell>
          <cell r="G88">
            <v>11</v>
          </cell>
          <cell r="H88">
            <v>19</v>
          </cell>
          <cell r="I88">
            <v>8</v>
          </cell>
          <cell r="J88">
            <v>11</v>
          </cell>
          <cell r="K88">
            <v>19</v>
          </cell>
        </row>
        <row r="89">
          <cell r="A89">
            <v>12807381</v>
          </cell>
          <cell r="B89" t="str">
            <v>'12807381',</v>
          </cell>
          <cell r="C89" t="str">
            <v>Cevicheria Las Brujas</v>
          </cell>
          <cell r="D89" t="str">
            <v>PE Dir Sur</v>
          </cell>
          <cell r="E89" t="str">
            <v>PE Ger P3 Puno</v>
          </cell>
          <cell r="F89">
            <v>6</v>
          </cell>
          <cell r="G89">
            <v>25</v>
          </cell>
          <cell r="H89">
            <v>31</v>
          </cell>
          <cell r="I89">
            <v>4</v>
          </cell>
          <cell r="J89">
            <v>24</v>
          </cell>
          <cell r="K89">
            <v>28</v>
          </cell>
        </row>
        <row r="90">
          <cell r="A90">
            <v>13862377</v>
          </cell>
          <cell r="B90" t="str">
            <v>'13862377',</v>
          </cell>
          <cell r="C90" t="str">
            <v>El rincon de la charapa</v>
          </cell>
          <cell r="D90" t="str">
            <v>PE Dir Norte</v>
          </cell>
          <cell r="E90" t="str">
            <v>PE Ger P2 Tumbes T</v>
          </cell>
          <cell r="F90">
            <v>5</v>
          </cell>
          <cell r="G90">
            <v>16</v>
          </cell>
          <cell r="H90">
            <v>21</v>
          </cell>
          <cell r="I90">
            <v>6</v>
          </cell>
          <cell r="J90">
            <v>24</v>
          </cell>
          <cell r="K90">
            <v>30</v>
          </cell>
        </row>
        <row r="91">
          <cell r="A91">
            <v>13880123</v>
          </cell>
          <cell r="B91" t="str">
            <v>'13880123',</v>
          </cell>
          <cell r="C91" t="str">
            <v>Restaurante Villalobos</v>
          </cell>
          <cell r="D91" t="str">
            <v>PE Dir Norte</v>
          </cell>
          <cell r="E91" t="str">
            <v>PE Ger P2 Trujillo</v>
          </cell>
          <cell r="F91">
            <v>4</v>
          </cell>
          <cell r="G91">
            <v>13</v>
          </cell>
          <cell r="H91">
            <v>17</v>
          </cell>
          <cell r="I91">
            <v>0</v>
          </cell>
          <cell r="J91">
            <v>0</v>
          </cell>
          <cell r="K91">
            <v>0</v>
          </cell>
        </row>
        <row r="92">
          <cell r="A92">
            <v>13057551</v>
          </cell>
          <cell r="B92" t="str">
            <v>'13057551',</v>
          </cell>
          <cell r="C92" t="str">
            <v>Tradicion trujillana</v>
          </cell>
          <cell r="D92" t="str">
            <v>PE Dir Norte</v>
          </cell>
          <cell r="E92" t="str">
            <v>PE Ger P2 Trujillo</v>
          </cell>
          <cell r="F92">
            <v>2</v>
          </cell>
          <cell r="G92">
            <v>26</v>
          </cell>
          <cell r="H92">
            <v>28</v>
          </cell>
          <cell r="I92">
            <v>0</v>
          </cell>
          <cell r="J92">
            <v>0</v>
          </cell>
          <cell r="K92">
            <v>0</v>
          </cell>
        </row>
        <row r="93">
          <cell r="A93">
            <v>13352587</v>
          </cell>
          <cell r="B93" t="str">
            <v>'13352587',</v>
          </cell>
          <cell r="C93" t="str">
            <v>EL PEZ ON - SAN ISIDRO</v>
          </cell>
          <cell r="D93" t="str">
            <v>PE Dir Lima</v>
          </cell>
          <cell r="E93" t="str">
            <v>PE Ger P1 Lima Centr</v>
          </cell>
          <cell r="F93">
            <v>3</v>
          </cell>
          <cell r="G93">
            <v>21</v>
          </cell>
          <cell r="H93">
            <v>24</v>
          </cell>
          <cell r="I93">
            <v>0</v>
          </cell>
          <cell r="J93">
            <v>8</v>
          </cell>
          <cell r="K93">
            <v>8</v>
          </cell>
        </row>
        <row r="94">
          <cell r="A94">
            <v>13887128</v>
          </cell>
          <cell r="B94" t="str">
            <v>'13887128',</v>
          </cell>
          <cell r="C94" t="str">
            <v>SUYU Peruvian Restaurant</v>
          </cell>
          <cell r="D94" t="str">
            <v>PE Dir Sur</v>
          </cell>
          <cell r="E94" t="str">
            <v>PE Ger P3 Cusco</v>
          </cell>
          <cell r="F94">
            <v>3</v>
          </cell>
          <cell r="G94">
            <v>24</v>
          </cell>
          <cell r="H94">
            <v>27</v>
          </cell>
          <cell r="I94">
            <v>3</v>
          </cell>
          <cell r="J94">
            <v>21</v>
          </cell>
          <cell r="K94">
            <v>24</v>
          </cell>
        </row>
        <row r="95">
          <cell r="A95">
            <v>10065596</v>
          </cell>
          <cell r="B95" t="str">
            <v>'10065596',</v>
          </cell>
          <cell r="C95" t="str">
            <v>El Paisa</v>
          </cell>
          <cell r="D95" t="str">
            <v>PE Dir Norte</v>
          </cell>
          <cell r="E95" t="str">
            <v>PE Ger P2 Trujillo</v>
          </cell>
          <cell r="F95">
            <v>8</v>
          </cell>
          <cell r="G95">
            <v>9</v>
          </cell>
          <cell r="H95">
            <v>17</v>
          </cell>
          <cell r="I95">
            <v>0</v>
          </cell>
          <cell r="J95">
            <v>0</v>
          </cell>
          <cell r="K95">
            <v>0</v>
          </cell>
        </row>
        <row r="96">
          <cell r="A96">
            <v>13957538</v>
          </cell>
          <cell r="B96" t="str">
            <v>'13957538',</v>
          </cell>
          <cell r="C96" t="str">
            <v>Vichayito</v>
          </cell>
          <cell r="D96" t="str">
            <v>PE Dir Sur</v>
          </cell>
          <cell r="E96" t="str">
            <v>PE Ger P3 Cusco</v>
          </cell>
          <cell r="F96">
            <v>9</v>
          </cell>
          <cell r="G96">
            <v>12</v>
          </cell>
          <cell r="H96">
            <v>21</v>
          </cell>
          <cell r="I96">
            <v>0</v>
          </cell>
          <cell r="J96">
            <v>23</v>
          </cell>
          <cell r="K96">
            <v>23</v>
          </cell>
        </row>
        <row r="97">
          <cell r="A97">
            <v>12996112</v>
          </cell>
          <cell r="B97" t="str">
            <v>'12996112',</v>
          </cell>
          <cell r="C97" t="str">
            <v>La Condesa Restaurante  Campestre</v>
          </cell>
          <cell r="D97" t="str">
            <v>PE Dir Norte</v>
          </cell>
          <cell r="E97" t="str">
            <v>PE Ger P2 Chiclay Ca</v>
          </cell>
          <cell r="F97">
            <v>8</v>
          </cell>
          <cell r="G97">
            <v>8</v>
          </cell>
          <cell r="H97">
            <v>16</v>
          </cell>
          <cell r="I97">
            <v>8</v>
          </cell>
          <cell r="J97">
            <v>10</v>
          </cell>
          <cell r="K97">
            <v>18</v>
          </cell>
        </row>
        <row r="98">
          <cell r="A98">
            <v>12832749</v>
          </cell>
          <cell r="B98" t="str">
            <v>'12832749',</v>
          </cell>
          <cell r="C98" t="str">
            <v>Don Cevillano</v>
          </cell>
          <cell r="D98" t="str">
            <v>PE Dir Norte</v>
          </cell>
          <cell r="E98" t="str">
            <v>PE Ger P2 Piura</v>
          </cell>
          <cell r="F98">
            <v>0</v>
          </cell>
          <cell r="G98">
            <v>20</v>
          </cell>
          <cell r="H98">
            <v>20</v>
          </cell>
          <cell r="I98">
            <v>0</v>
          </cell>
          <cell r="J98">
            <v>26</v>
          </cell>
          <cell r="K98">
            <v>26</v>
          </cell>
        </row>
        <row r="99">
          <cell r="A99">
            <v>14323711</v>
          </cell>
          <cell r="B99" t="str">
            <v>'14323711',</v>
          </cell>
          <cell r="C99" t="str">
            <v>LA ESCAPADA - SURCO</v>
          </cell>
          <cell r="D99" t="str">
            <v>PE Dir Lima</v>
          </cell>
          <cell r="E99" t="str">
            <v>PE Ger P1 Lima Centr</v>
          </cell>
          <cell r="F99">
            <v>0</v>
          </cell>
          <cell r="G99">
            <v>31</v>
          </cell>
          <cell r="H99">
            <v>31</v>
          </cell>
          <cell r="I99">
            <v>0</v>
          </cell>
          <cell r="J99">
            <v>0</v>
          </cell>
          <cell r="K99">
            <v>0</v>
          </cell>
        </row>
        <row r="100">
          <cell r="A100">
            <v>14163005</v>
          </cell>
          <cell r="B100" t="str">
            <v>'14163005',</v>
          </cell>
          <cell r="C100" t="str">
            <v>PAMPANOS TALARA</v>
          </cell>
          <cell r="D100" t="str">
            <v>PE Dir Norte</v>
          </cell>
          <cell r="E100" t="str">
            <v>PE Ger P2 Tumbes T</v>
          </cell>
          <cell r="F100">
            <v>11</v>
          </cell>
          <cell r="G100">
            <v>16</v>
          </cell>
          <cell r="H100">
            <v>27</v>
          </cell>
          <cell r="I100">
            <v>0</v>
          </cell>
          <cell r="J100">
            <v>0</v>
          </cell>
          <cell r="K100">
            <v>0</v>
          </cell>
        </row>
        <row r="101">
          <cell r="A101">
            <v>14398206</v>
          </cell>
          <cell r="B101" t="str">
            <v>'14398206',</v>
          </cell>
          <cell r="C101" t="str">
            <v>Cevicheria y combinados D'Jael</v>
          </cell>
          <cell r="D101" t="str">
            <v>PE Dir Norte</v>
          </cell>
          <cell r="E101" t="str">
            <v>PE Ger P2 Trujillo</v>
          </cell>
          <cell r="F101">
            <v>16</v>
          </cell>
          <cell r="G101">
            <v>0</v>
          </cell>
          <cell r="H101">
            <v>16</v>
          </cell>
          <cell r="I101">
            <v>0</v>
          </cell>
          <cell r="J101">
            <v>0</v>
          </cell>
          <cell r="K101">
            <v>0</v>
          </cell>
        </row>
        <row r="102">
          <cell r="A102">
            <v>13994224</v>
          </cell>
          <cell r="B102" t="str">
            <v>'13994224',</v>
          </cell>
          <cell r="C102" t="str">
            <v>La Magia Del Peruano</v>
          </cell>
          <cell r="D102" t="str">
            <v>PE Dir Norte</v>
          </cell>
          <cell r="E102" t="str">
            <v>PE Ger P2 Trujillo</v>
          </cell>
          <cell r="F102">
            <v>3</v>
          </cell>
          <cell r="G102">
            <v>22</v>
          </cell>
          <cell r="H102">
            <v>25</v>
          </cell>
          <cell r="I102">
            <v>0</v>
          </cell>
          <cell r="J102">
            <v>0</v>
          </cell>
          <cell r="K102">
            <v>0</v>
          </cell>
        </row>
        <row r="103">
          <cell r="A103">
            <v>12502278</v>
          </cell>
          <cell r="B103" t="str">
            <v>'12502278',</v>
          </cell>
          <cell r="C103" t="str">
            <v>Restaurante El Moscu</v>
          </cell>
          <cell r="D103" t="str">
            <v>PE Dir Norte</v>
          </cell>
          <cell r="E103" t="str">
            <v>PE Ger P2 Tumbes T</v>
          </cell>
          <cell r="F103">
            <v>15</v>
          </cell>
          <cell r="G103">
            <v>4</v>
          </cell>
          <cell r="H103">
            <v>19</v>
          </cell>
          <cell r="I103">
            <v>16</v>
          </cell>
          <cell r="J103">
            <v>2</v>
          </cell>
          <cell r="K103">
            <v>18</v>
          </cell>
        </row>
        <row r="104">
          <cell r="A104">
            <v>12502143</v>
          </cell>
          <cell r="B104" t="str">
            <v>'12502143',</v>
          </cell>
          <cell r="C104" t="str">
            <v>Aji seco</v>
          </cell>
          <cell r="D104" t="str">
            <v>PE Dir Norte</v>
          </cell>
          <cell r="E104" t="str">
            <v>PE Ger P2 Ancash</v>
          </cell>
          <cell r="F104">
            <v>0</v>
          </cell>
          <cell r="G104">
            <v>20</v>
          </cell>
          <cell r="H104">
            <v>20</v>
          </cell>
          <cell r="I104">
            <v>0</v>
          </cell>
          <cell r="J104">
            <v>9</v>
          </cell>
          <cell r="K104">
            <v>9</v>
          </cell>
        </row>
        <row r="105">
          <cell r="A105">
            <v>13512787</v>
          </cell>
          <cell r="B105" t="str">
            <v>'13512787',</v>
          </cell>
          <cell r="C105" t="str">
            <v>Restaurant La Cocina De Esperanza</v>
          </cell>
          <cell r="D105" t="str">
            <v>PE Dir Norte</v>
          </cell>
          <cell r="E105" t="str">
            <v>PE Ger P2 Piura</v>
          </cell>
          <cell r="F105">
            <v>8</v>
          </cell>
          <cell r="G105">
            <v>21</v>
          </cell>
          <cell r="H105">
            <v>29</v>
          </cell>
          <cell r="I105">
            <v>0</v>
          </cell>
          <cell r="J105">
            <v>0</v>
          </cell>
          <cell r="K105">
            <v>0</v>
          </cell>
        </row>
        <row r="106">
          <cell r="A106">
            <v>13009949</v>
          </cell>
          <cell r="B106" t="str">
            <v>'13009949',</v>
          </cell>
          <cell r="C106" t="str">
            <v>Restaurant Cevicheria El Weko</v>
          </cell>
          <cell r="D106" t="str">
            <v>PE Dir Norte</v>
          </cell>
          <cell r="E106" t="str">
            <v>PE Ger P2 Piura</v>
          </cell>
          <cell r="F106">
            <v>8</v>
          </cell>
          <cell r="G106">
            <v>12</v>
          </cell>
          <cell r="H106">
            <v>20</v>
          </cell>
          <cell r="I106">
            <v>0</v>
          </cell>
          <cell r="J106">
            <v>0</v>
          </cell>
          <cell r="K106">
            <v>0</v>
          </cell>
        </row>
        <row r="107">
          <cell r="A107">
            <v>13921386</v>
          </cell>
          <cell r="B107" t="str">
            <v>'13921386',</v>
          </cell>
          <cell r="C107" t="str">
            <v>Anticucheria Doña Candy</v>
          </cell>
          <cell r="D107" t="str">
            <v>PE Dir Lima</v>
          </cell>
          <cell r="E107" t="str">
            <v>PE Ger P1 Lima Sur</v>
          </cell>
          <cell r="F107">
            <v>6</v>
          </cell>
          <cell r="G107">
            <v>20</v>
          </cell>
          <cell r="H107">
            <v>26</v>
          </cell>
          <cell r="I107">
            <v>6</v>
          </cell>
          <cell r="J107">
            <v>10</v>
          </cell>
          <cell r="K107">
            <v>16</v>
          </cell>
        </row>
        <row r="108">
          <cell r="A108">
            <v>14265744</v>
          </cell>
          <cell r="B108" t="str">
            <v>'14265744',</v>
          </cell>
          <cell r="C108" t="str">
            <v>Mar &amp; Loches</v>
          </cell>
          <cell r="D108" t="str">
            <v>PE Dir Norte</v>
          </cell>
          <cell r="E108" t="str">
            <v>PE Ger P2 Chiclay Ca</v>
          </cell>
          <cell r="F108">
            <v>8</v>
          </cell>
          <cell r="G108">
            <v>12</v>
          </cell>
          <cell r="H108">
            <v>20</v>
          </cell>
          <cell r="I108">
            <v>0</v>
          </cell>
          <cell r="J108">
            <v>8</v>
          </cell>
          <cell r="K108">
            <v>8</v>
          </cell>
        </row>
        <row r="109">
          <cell r="A109">
            <v>12883565</v>
          </cell>
          <cell r="B109" t="str">
            <v>'12883565',</v>
          </cell>
          <cell r="C109" t="str">
            <v>VIKINGOS MEDIEVALL GRILL</v>
          </cell>
          <cell r="D109" t="str">
            <v>PE Dir Sur</v>
          </cell>
          <cell r="E109" t="str">
            <v>PE Ger P3 Puno</v>
          </cell>
          <cell r="F109">
            <v>8</v>
          </cell>
          <cell r="G109">
            <v>11</v>
          </cell>
          <cell r="H109">
            <v>19</v>
          </cell>
          <cell r="I109">
            <v>8</v>
          </cell>
          <cell r="J109">
            <v>4</v>
          </cell>
          <cell r="K109">
            <v>12</v>
          </cell>
        </row>
        <row r="110">
          <cell r="A110">
            <v>10005673</v>
          </cell>
          <cell r="B110" t="str">
            <v>'10005673',</v>
          </cell>
          <cell r="C110" t="str">
            <v>Restaurante Mi Carmencita</v>
          </cell>
          <cell r="D110" t="str">
            <v>PE Dir Norte</v>
          </cell>
          <cell r="E110" t="str">
            <v>PE Ger P2 Chiclay Ca</v>
          </cell>
          <cell r="F110">
            <v>2</v>
          </cell>
          <cell r="G110">
            <v>16</v>
          </cell>
          <cell r="H110">
            <v>18</v>
          </cell>
          <cell r="I110">
            <v>0</v>
          </cell>
          <cell r="J110">
            <v>16</v>
          </cell>
          <cell r="K110">
            <v>16</v>
          </cell>
        </row>
        <row r="111">
          <cell r="A111">
            <v>14285682</v>
          </cell>
          <cell r="B111" t="str">
            <v>'14285682',</v>
          </cell>
          <cell r="C111" t="str">
            <v>Casa Cusqueña</v>
          </cell>
          <cell r="D111" t="str">
            <v>PE Dir Sur</v>
          </cell>
          <cell r="E111" t="str">
            <v>PE Ger P3 Cusco</v>
          </cell>
          <cell r="F111">
            <v>3</v>
          </cell>
          <cell r="G111">
            <v>15</v>
          </cell>
          <cell r="H111">
            <v>18</v>
          </cell>
          <cell r="I111">
            <v>0</v>
          </cell>
          <cell r="J111">
            <v>20</v>
          </cell>
          <cell r="K111">
            <v>20</v>
          </cell>
        </row>
        <row r="112">
          <cell r="A112">
            <v>10173401</v>
          </cell>
          <cell r="B112" t="str">
            <v>'10173401',</v>
          </cell>
          <cell r="C112" t="str">
            <v>CORDANO</v>
          </cell>
          <cell r="D112" t="str">
            <v>PE Dir Lima</v>
          </cell>
          <cell r="E112" t="str">
            <v>PE Ger P1 Lima Centr</v>
          </cell>
          <cell r="F112">
            <v>0</v>
          </cell>
          <cell r="G112">
            <v>36</v>
          </cell>
          <cell r="H112">
            <v>36</v>
          </cell>
          <cell r="I112">
            <v>1</v>
          </cell>
          <cell r="J112">
            <v>12</v>
          </cell>
          <cell r="K112">
            <v>13</v>
          </cell>
        </row>
        <row r="113">
          <cell r="A113">
            <v>13513912</v>
          </cell>
          <cell r="B113" t="str">
            <v>'13513912',</v>
          </cell>
          <cell r="C113" t="str">
            <v>Jarandillo Norteño</v>
          </cell>
          <cell r="D113" t="str">
            <v>PE Dir Norte</v>
          </cell>
          <cell r="E113" t="str">
            <v>PE Ger P2 Trujillo</v>
          </cell>
          <cell r="F113">
            <v>4</v>
          </cell>
          <cell r="G113">
            <v>13</v>
          </cell>
          <cell r="H113">
            <v>17</v>
          </cell>
          <cell r="I113">
            <v>0</v>
          </cell>
          <cell r="J113">
            <v>17</v>
          </cell>
          <cell r="K113">
            <v>17</v>
          </cell>
        </row>
        <row r="114">
          <cell r="A114">
            <v>13445056</v>
          </cell>
          <cell r="B114" t="str">
            <v>'13445056',</v>
          </cell>
          <cell r="C114" t="str">
            <v>Santa Rosa</v>
          </cell>
          <cell r="D114" t="str">
            <v>PE Dir Centro Orient</v>
          </cell>
          <cell r="E114" t="str">
            <v>PE Ger P4 Huancay Ch</v>
          </cell>
          <cell r="F114">
            <v>2</v>
          </cell>
          <cell r="G114">
            <v>25</v>
          </cell>
          <cell r="H114">
            <v>27</v>
          </cell>
          <cell r="I114">
            <v>0</v>
          </cell>
          <cell r="J114">
            <v>0</v>
          </cell>
          <cell r="K114">
            <v>0</v>
          </cell>
        </row>
        <row r="115">
          <cell r="A115">
            <v>14227946</v>
          </cell>
          <cell r="B115" t="str">
            <v>'14227946',</v>
          </cell>
          <cell r="C115" t="str">
            <v>Hacienda marro</v>
          </cell>
          <cell r="D115" t="str">
            <v>PE Dir Centro Orient</v>
          </cell>
          <cell r="E115" t="str">
            <v>PE Ger P4 Huancay Ch</v>
          </cell>
          <cell r="F115">
            <v>12</v>
          </cell>
          <cell r="G115">
            <v>8</v>
          </cell>
          <cell r="H115">
            <v>20</v>
          </cell>
          <cell r="I115">
            <v>10</v>
          </cell>
          <cell r="J115">
            <v>10</v>
          </cell>
          <cell r="K115">
            <v>20</v>
          </cell>
        </row>
        <row r="116">
          <cell r="A116">
            <v>11129897</v>
          </cell>
          <cell r="B116" t="str">
            <v>'11129897',</v>
          </cell>
          <cell r="C116" t="str">
            <v>Restaurante la cholita</v>
          </cell>
          <cell r="D116" t="str">
            <v>PE Dir Norte</v>
          </cell>
          <cell r="E116" t="str">
            <v>PE Ger P2 Piura</v>
          </cell>
          <cell r="F116">
            <v>6</v>
          </cell>
          <cell r="G116">
            <v>18</v>
          </cell>
          <cell r="H116">
            <v>24</v>
          </cell>
          <cell r="I116">
            <v>0</v>
          </cell>
          <cell r="J116">
            <v>14</v>
          </cell>
          <cell r="K116">
            <v>14</v>
          </cell>
        </row>
        <row r="117">
          <cell r="A117">
            <v>14219306</v>
          </cell>
          <cell r="B117" t="str">
            <v>'14219306',</v>
          </cell>
          <cell r="C117" t="str">
            <v>El Rico Sabor</v>
          </cell>
          <cell r="D117" t="str">
            <v>PE Dir Norte</v>
          </cell>
          <cell r="E117" t="str">
            <v>PE Ger P2 Piura</v>
          </cell>
          <cell r="F117">
            <v>3</v>
          </cell>
          <cell r="G117">
            <v>23</v>
          </cell>
          <cell r="H117">
            <v>26</v>
          </cell>
          <cell r="I117">
            <v>0</v>
          </cell>
          <cell r="J117">
            <v>4</v>
          </cell>
          <cell r="K117">
            <v>4</v>
          </cell>
        </row>
        <row r="118">
          <cell r="A118">
            <v>12570601</v>
          </cell>
          <cell r="B118" t="str">
            <v>'12570601',</v>
          </cell>
          <cell r="C118" t="str">
            <v>Punta verde club</v>
          </cell>
          <cell r="D118" t="str">
            <v>PE Dir Centro Orient</v>
          </cell>
          <cell r="E118" t="str">
            <v>PE Ger P4 Tarapoto</v>
          </cell>
          <cell r="F118">
            <v>8</v>
          </cell>
          <cell r="G118">
            <v>16</v>
          </cell>
          <cell r="H118">
            <v>24</v>
          </cell>
          <cell r="I118">
            <v>0</v>
          </cell>
          <cell r="J118">
            <v>0</v>
          </cell>
          <cell r="K118">
            <v>0</v>
          </cell>
        </row>
        <row r="119">
          <cell r="A119">
            <v>14230986</v>
          </cell>
          <cell r="B119" t="str">
            <v>'14230986',</v>
          </cell>
          <cell r="C119" t="str">
            <v>Punto Mar sabores que conquistan</v>
          </cell>
          <cell r="D119" t="str">
            <v>PE Dir Sur</v>
          </cell>
          <cell r="E119" t="str">
            <v>PE Ger P3 Cusco</v>
          </cell>
          <cell r="F119">
            <v>4</v>
          </cell>
          <cell r="G119">
            <v>15</v>
          </cell>
          <cell r="H119">
            <v>19</v>
          </cell>
          <cell r="I119">
            <v>4</v>
          </cell>
          <cell r="J119">
            <v>16</v>
          </cell>
          <cell r="K119">
            <v>20</v>
          </cell>
        </row>
        <row r="120">
          <cell r="A120">
            <v>12240839</v>
          </cell>
          <cell r="B120" t="str">
            <v>'12240839',</v>
          </cell>
          <cell r="C120" t="str">
            <v>Chocheria - Piqueos - Bar Entre Patas</v>
          </cell>
          <cell r="D120" t="str">
            <v>PE Dir Norte</v>
          </cell>
          <cell r="E120" t="str">
            <v>PE Ger P2 Ancash</v>
          </cell>
          <cell r="F120">
            <v>4</v>
          </cell>
          <cell r="G120">
            <v>13</v>
          </cell>
          <cell r="H120">
            <v>17</v>
          </cell>
          <cell r="I120">
            <v>4</v>
          </cell>
          <cell r="J120">
            <v>11</v>
          </cell>
          <cell r="K120">
            <v>15</v>
          </cell>
        </row>
        <row r="121">
          <cell r="A121">
            <v>11762777</v>
          </cell>
          <cell r="B121" t="str">
            <v>'11762777',</v>
          </cell>
          <cell r="C121" t="str">
            <v>Restaurante Coma y Punto</v>
          </cell>
          <cell r="D121" t="str">
            <v>PE Dir Norte</v>
          </cell>
          <cell r="E121" t="str">
            <v>PE Ger P2 Chiclay Ca</v>
          </cell>
          <cell r="F121">
            <v>6</v>
          </cell>
          <cell r="G121">
            <v>22</v>
          </cell>
          <cell r="H121">
            <v>28</v>
          </cell>
          <cell r="I121">
            <v>4</v>
          </cell>
          <cell r="J121">
            <v>12</v>
          </cell>
          <cell r="K121">
            <v>16</v>
          </cell>
        </row>
        <row r="122">
          <cell r="A122">
            <v>14294916</v>
          </cell>
          <cell r="B122" t="str">
            <v>'14294916',</v>
          </cell>
          <cell r="C122" t="str">
            <v>Restaurante Paquito</v>
          </cell>
          <cell r="D122" t="str">
            <v>PE Dir Sur</v>
          </cell>
          <cell r="E122" t="str">
            <v>PE Ger P3 Sur Chico</v>
          </cell>
          <cell r="F122">
            <v>12</v>
          </cell>
          <cell r="G122">
            <v>13</v>
          </cell>
          <cell r="H122">
            <v>25</v>
          </cell>
          <cell r="I122">
            <v>8</v>
          </cell>
          <cell r="J122">
            <v>11</v>
          </cell>
          <cell r="K122">
            <v>19</v>
          </cell>
        </row>
        <row r="123">
          <cell r="A123">
            <v>12825976</v>
          </cell>
          <cell r="B123" t="str">
            <v>'12825976',</v>
          </cell>
          <cell r="C123" t="str">
            <v>Donde Vilela</v>
          </cell>
          <cell r="D123" t="str">
            <v>PE Dir Centro Orient</v>
          </cell>
          <cell r="E123" t="str">
            <v>PE Ger P4 Huancay Ch</v>
          </cell>
          <cell r="F123">
            <v>7</v>
          </cell>
          <cell r="G123">
            <v>12</v>
          </cell>
          <cell r="H123">
            <v>19</v>
          </cell>
          <cell r="I123">
            <v>3</v>
          </cell>
          <cell r="J123">
            <v>16</v>
          </cell>
          <cell r="K123">
            <v>19</v>
          </cell>
        </row>
        <row r="124">
          <cell r="A124">
            <v>14484801</v>
          </cell>
          <cell r="B124" t="str">
            <v>'14484801',</v>
          </cell>
          <cell r="C124" t="str">
            <v>Festejo</v>
          </cell>
          <cell r="D124" t="str">
            <v>PE Dir Centro Orient</v>
          </cell>
          <cell r="E124" t="str">
            <v>PE Ger P4 Huancay Ch</v>
          </cell>
          <cell r="F124">
            <v>7</v>
          </cell>
          <cell r="G124">
            <v>12</v>
          </cell>
          <cell r="H124">
            <v>19</v>
          </cell>
          <cell r="I124">
            <v>0</v>
          </cell>
          <cell r="J124">
            <v>8</v>
          </cell>
          <cell r="K124">
            <v>8</v>
          </cell>
        </row>
        <row r="125">
          <cell r="A125">
            <v>11762053</v>
          </cell>
          <cell r="B125" t="str">
            <v>'11762053',</v>
          </cell>
          <cell r="C125" t="str">
            <v>CEVICHERIA NOEMI</v>
          </cell>
          <cell r="D125" t="str">
            <v>PE Dir Norte</v>
          </cell>
          <cell r="E125" t="str">
            <v>PE Ger P2 Ancash</v>
          </cell>
          <cell r="F125">
            <v>5</v>
          </cell>
          <cell r="G125">
            <v>9</v>
          </cell>
          <cell r="H125">
            <v>14</v>
          </cell>
          <cell r="I125">
            <v>0</v>
          </cell>
          <cell r="J125">
            <v>0</v>
          </cell>
          <cell r="K125">
            <v>0</v>
          </cell>
        </row>
        <row r="126">
          <cell r="A126">
            <v>11609326</v>
          </cell>
          <cell r="B126" t="str">
            <v>'11609326',</v>
          </cell>
          <cell r="C126" t="str">
            <v>Restaurant Cevicheria Maroma</v>
          </cell>
          <cell r="D126" t="str">
            <v>PE Dir Norte</v>
          </cell>
          <cell r="E126" t="str">
            <v>PE Ger P2 Piura</v>
          </cell>
          <cell r="F126">
            <v>3</v>
          </cell>
          <cell r="G126">
            <v>17</v>
          </cell>
          <cell r="H126">
            <v>20</v>
          </cell>
          <cell r="I126">
            <v>0</v>
          </cell>
          <cell r="J126">
            <v>7</v>
          </cell>
          <cell r="K126">
            <v>7</v>
          </cell>
        </row>
        <row r="127">
          <cell r="A127">
            <v>12544541</v>
          </cell>
          <cell r="B127" t="str">
            <v>'12544541',</v>
          </cell>
          <cell r="C127" t="str">
            <v>El auki</v>
          </cell>
          <cell r="D127" t="str">
            <v>PE Dir Norte</v>
          </cell>
          <cell r="E127" t="str">
            <v>PE Ger P2 Ancash</v>
          </cell>
          <cell r="F127">
            <v>6</v>
          </cell>
          <cell r="G127">
            <v>20</v>
          </cell>
          <cell r="H127">
            <v>26</v>
          </cell>
          <cell r="I127">
            <v>3</v>
          </cell>
          <cell r="J127">
            <v>19</v>
          </cell>
          <cell r="K127">
            <v>22</v>
          </cell>
        </row>
        <row r="128">
          <cell r="A128">
            <v>13966894</v>
          </cell>
          <cell r="B128" t="str">
            <v>'13966894',</v>
          </cell>
          <cell r="C128" t="str">
            <v>Kantuq - Boulevard Turístico Miraflores</v>
          </cell>
          <cell r="D128" t="str">
            <v>PE Dir Norte</v>
          </cell>
          <cell r="E128" t="str">
            <v>PE Ger P2 Piura</v>
          </cell>
          <cell r="F128">
            <v>6</v>
          </cell>
          <cell r="G128">
            <v>16</v>
          </cell>
          <cell r="H128">
            <v>22</v>
          </cell>
          <cell r="I128">
            <v>3</v>
          </cell>
          <cell r="J128">
            <v>11</v>
          </cell>
          <cell r="K128">
            <v>14</v>
          </cell>
        </row>
        <row r="129">
          <cell r="A129">
            <v>10970549</v>
          </cell>
          <cell r="B129" t="str">
            <v>'10970549',</v>
          </cell>
          <cell r="C129" t="str">
            <v>RUMI WASI</v>
          </cell>
          <cell r="D129" t="str">
            <v>PE Dir Sur</v>
          </cell>
          <cell r="E129" t="str">
            <v>PE Ger P3 Sur Chico</v>
          </cell>
          <cell r="F129">
            <v>5</v>
          </cell>
          <cell r="G129">
            <v>22</v>
          </cell>
          <cell r="H129">
            <v>27</v>
          </cell>
          <cell r="I129">
            <v>0</v>
          </cell>
          <cell r="J129">
            <v>13</v>
          </cell>
          <cell r="K129">
            <v>13</v>
          </cell>
        </row>
        <row r="130">
          <cell r="A130">
            <v>14468427</v>
          </cell>
          <cell r="B130" t="str">
            <v>'14468427',</v>
          </cell>
          <cell r="C130" t="str">
            <v>Satanca</v>
          </cell>
          <cell r="D130" t="str">
            <v>PE Dir Norte</v>
          </cell>
          <cell r="E130" t="str">
            <v>PE Ger P2 Chiclay Ca</v>
          </cell>
          <cell r="F130">
            <v>11</v>
          </cell>
          <cell r="G130">
            <v>16</v>
          </cell>
          <cell r="H130">
            <v>27</v>
          </cell>
          <cell r="I130">
            <v>0</v>
          </cell>
          <cell r="J130">
            <v>0</v>
          </cell>
          <cell r="K130">
            <v>0</v>
          </cell>
        </row>
        <row r="131">
          <cell r="A131">
            <v>12395424</v>
          </cell>
          <cell r="B131" t="str">
            <v>'12395424',</v>
          </cell>
          <cell r="C131" t="str">
            <v>Pez norteño</v>
          </cell>
          <cell r="D131" t="str">
            <v>PE Dir Lima</v>
          </cell>
          <cell r="E131" t="str">
            <v>PE Ger P1 Lima Oeste</v>
          </cell>
          <cell r="F131">
            <v>8</v>
          </cell>
          <cell r="G131">
            <v>7</v>
          </cell>
          <cell r="H131">
            <v>15</v>
          </cell>
          <cell r="I131">
            <v>2</v>
          </cell>
          <cell r="J131">
            <v>9</v>
          </cell>
          <cell r="K131">
            <v>11</v>
          </cell>
        </row>
        <row r="132">
          <cell r="A132">
            <v>10190324</v>
          </cell>
          <cell r="B132" t="str">
            <v>'10190324',</v>
          </cell>
          <cell r="C132" t="str">
            <v>La Olla arequipeña</v>
          </cell>
          <cell r="D132" t="str">
            <v>PE Dir Lima</v>
          </cell>
          <cell r="E132" t="str">
            <v>PE Ger P1 Lima Norte</v>
          </cell>
          <cell r="F132">
            <v>2</v>
          </cell>
          <cell r="G132">
            <v>14</v>
          </cell>
          <cell r="H132">
            <v>16</v>
          </cell>
          <cell r="I132">
            <v>0</v>
          </cell>
          <cell r="J132">
            <v>0</v>
          </cell>
          <cell r="K132">
            <v>0</v>
          </cell>
        </row>
        <row r="133">
          <cell r="A133">
            <v>10472121</v>
          </cell>
          <cell r="B133" t="str">
            <v>'10472121',</v>
          </cell>
          <cell r="C133" t="str">
            <v>Don Rulo</v>
          </cell>
          <cell r="D133" t="str">
            <v>PE Dir Norte</v>
          </cell>
          <cell r="E133" t="str">
            <v>PE Ger P2 Trujillo</v>
          </cell>
          <cell r="F133">
            <v>12</v>
          </cell>
          <cell r="G133">
            <v>1</v>
          </cell>
          <cell r="H133">
            <v>13</v>
          </cell>
          <cell r="I133">
            <v>0</v>
          </cell>
          <cell r="J133">
            <v>0</v>
          </cell>
          <cell r="K133">
            <v>0</v>
          </cell>
        </row>
        <row r="134">
          <cell r="A134">
            <v>13957537</v>
          </cell>
          <cell r="B134" t="str">
            <v>'13957537',</v>
          </cell>
          <cell r="C134" t="str">
            <v>Vichayito Sabor del Norte</v>
          </cell>
          <cell r="D134" t="str">
            <v>PE Dir Sur</v>
          </cell>
          <cell r="E134" t="str">
            <v>PE Ger P3 Cusco</v>
          </cell>
          <cell r="F134">
            <v>9</v>
          </cell>
          <cell r="G134">
            <v>7</v>
          </cell>
          <cell r="H134">
            <v>16</v>
          </cell>
          <cell r="I134">
            <v>7</v>
          </cell>
          <cell r="J134">
            <v>8</v>
          </cell>
          <cell r="K134">
            <v>15</v>
          </cell>
        </row>
        <row r="135">
          <cell r="A135">
            <v>13115230</v>
          </cell>
          <cell r="B135" t="str">
            <v>'13115230',</v>
          </cell>
          <cell r="C135" t="str">
            <v>Choza Rustica</v>
          </cell>
          <cell r="D135" t="str">
            <v>PE Dir Norte</v>
          </cell>
          <cell r="E135" t="str">
            <v>PE Ger P2 Chiclay Ca</v>
          </cell>
          <cell r="F135">
            <v>7</v>
          </cell>
          <cell r="G135">
            <v>12</v>
          </cell>
          <cell r="H135">
            <v>19</v>
          </cell>
          <cell r="I135">
            <v>7</v>
          </cell>
          <cell r="J135">
            <v>8</v>
          </cell>
          <cell r="K135">
            <v>15</v>
          </cell>
        </row>
        <row r="136">
          <cell r="A136">
            <v>13859769</v>
          </cell>
          <cell r="B136" t="str">
            <v>'13859769',</v>
          </cell>
          <cell r="C136" t="str">
            <v>Picantería Los delfines</v>
          </cell>
          <cell r="D136" t="str">
            <v>PE Dir Norte</v>
          </cell>
          <cell r="E136" t="str">
            <v>PE Ger P2 Chiclay Ca</v>
          </cell>
          <cell r="F136">
            <v>10</v>
          </cell>
          <cell r="G136">
            <v>9</v>
          </cell>
          <cell r="H136">
            <v>19</v>
          </cell>
          <cell r="I136">
            <v>4</v>
          </cell>
          <cell r="J136">
            <v>9</v>
          </cell>
          <cell r="K136">
            <v>13</v>
          </cell>
        </row>
        <row r="137">
          <cell r="A137">
            <v>13886975</v>
          </cell>
          <cell r="B137" t="str">
            <v>'13886975',</v>
          </cell>
          <cell r="C137" t="str">
            <v>Rinconcito Piurano</v>
          </cell>
          <cell r="D137" t="str">
            <v>PE Dir Norte</v>
          </cell>
          <cell r="E137" t="str">
            <v>PE Ger P2 Chiclay Ca</v>
          </cell>
          <cell r="F137">
            <v>6</v>
          </cell>
          <cell r="G137">
            <v>12</v>
          </cell>
          <cell r="H137">
            <v>18</v>
          </cell>
          <cell r="I137">
            <v>0</v>
          </cell>
          <cell r="J137">
            <v>8</v>
          </cell>
          <cell r="K137">
            <v>8</v>
          </cell>
        </row>
        <row r="138">
          <cell r="A138">
            <v>12887072</v>
          </cell>
          <cell r="B138" t="str">
            <v>'12887072',</v>
          </cell>
          <cell r="C138" t="str">
            <v>Restauran cevichería " LA TENTACIÓN "</v>
          </cell>
          <cell r="D138" t="str">
            <v>PE Dir Norte</v>
          </cell>
          <cell r="E138" t="str">
            <v>PE Ger P2 Piura</v>
          </cell>
          <cell r="F138">
            <v>5</v>
          </cell>
          <cell r="G138">
            <v>15</v>
          </cell>
          <cell r="H138">
            <v>20</v>
          </cell>
          <cell r="I138">
            <v>0</v>
          </cell>
          <cell r="J138">
            <v>0</v>
          </cell>
          <cell r="K138">
            <v>0</v>
          </cell>
        </row>
        <row r="139">
          <cell r="A139">
            <v>14388120</v>
          </cell>
          <cell r="B139" t="str">
            <v>'14388120',</v>
          </cell>
          <cell r="C139" t="str">
            <v>En su punto del tío Jhonny</v>
          </cell>
          <cell r="D139" t="str">
            <v>PE Dir Norte</v>
          </cell>
          <cell r="E139" t="str">
            <v>PE Ger P2 Trujillo</v>
          </cell>
          <cell r="F139">
            <v>0</v>
          </cell>
          <cell r="G139">
            <v>27</v>
          </cell>
          <cell r="H139">
            <v>27</v>
          </cell>
          <cell r="I139">
            <v>0</v>
          </cell>
          <cell r="J139">
            <v>15</v>
          </cell>
          <cell r="K139">
            <v>15</v>
          </cell>
        </row>
        <row r="140">
          <cell r="A140">
            <v>12756310</v>
          </cell>
          <cell r="B140" t="str">
            <v>'12756310',</v>
          </cell>
          <cell r="C140" t="str">
            <v>Quitumbe Sea Lodge</v>
          </cell>
          <cell r="D140" t="str">
            <v>PE Dir Norte</v>
          </cell>
          <cell r="E140" t="str">
            <v>PE Ger P2 Tumbes T</v>
          </cell>
          <cell r="F140">
            <v>3</v>
          </cell>
          <cell r="G140">
            <v>10</v>
          </cell>
          <cell r="H140">
            <v>13</v>
          </cell>
          <cell r="I140">
            <v>1</v>
          </cell>
          <cell r="J140">
            <v>14</v>
          </cell>
          <cell r="K140">
            <v>15</v>
          </cell>
        </row>
        <row r="141">
          <cell r="A141">
            <v>14440701</v>
          </cell>
          <cell r="B141" t="str">
            <v>'14440701',</v>
          </cell>
          <cell r="C141" t="str">
            <v>Mar &amp; Nerito</v>
          </cell>
          <cell r="D141" t="str">
            <v>PE Dir Norte</v>
          </cell>
          <cell r="E141" t="str">
            <v>PE Ger P2 Trujillo</v>
          </cell>
          <cell r="F141">
            <v>5</v>
          </cell>
          <cell r="G141">
            <v>18</v>
          </cell>
          <cell r="H141">
            <v>23</v>
          </cell>
          <cell r="I141">
            <v>0</v>
          </cell>
          <cell r="J141">
            <v>0</v>
          </cell>
          <cell r="K141">
            <v>0</v>
          </cell>
        </row>
        <row r="142">
          <cell r="A142">
            <v>12613861</v>
          </cell>
          <cell r="B142" t="str">
            <v>'12613861',</v>
          </cell>
          <cell r="C142" t="str">
            <v>FLOR &amp; MAR</v>
          </cell>
          <cell r="D142" t="str">
            <v>PE Dir Lima</v>
          </cell>
          <cell r="E142" t="str">
            <v>PE Ger P1 Lima Sur</v>
          </cell>
          <cell r="F142">
            <v>5</v>
          </cell>
          <cell r="G142">
            <v>25</v>
          </cell>
          <cell r="H142">
            <v>30</v>
          </cell>
          <cell r="I142">
            <v>0</v>
          </cell>
          <cell r="J142">
            <v>27</v>
          </cell>
          <cell r="K142">
            <v>27</v>
          </cell>
        </row>
        <row r="143">
          <cell r="A143">
            <v>10028159</v>
          </cell>
          <cell r="B143" t="str">
            <v>'10028159',</v>
          </cell>
          <cell r="C143" t="str">
            <v>Picanteria EL COCO</v>
          </cell>
          <cell r="D143" t="str">
            <v>PE Dir Norte</v>
          </cell>
          <cell r="E143" t="str">
            <v>PE Ger P2 Piura</v>
          </cell>
          <cell r="F143">
            <v>5</v>
          </cell>
          <cell r="G143">
            <v>17</v>
          </cell>
          <cell r="H143">
            <v>22</v>
          </cell>
          <cell r="I143">
            <v>0</v>
          </cell>
          <cell r="J143">
            <v>11</v>
          </cell>
          <cell r="K143">
            <v>11</v>
          </cell>
        </row>
        <row r="144">
          <cell r="A144">
            <v>14260469</v>
          </cell>
          <cell r="B144" t="str">
            <v>'14260469',</v>
          </cell>
          <cell r="C144" t="str">
            <v>La Matarina</v>
          </cell>
          <cell r="D144" t="str">
            <v>PE Dir Lima</v>
          </cell>
          <cell r="E144" t="str">
            <v>PE Ger P1 Lima Oeste</v>
          </cell>
          <cell r="F144">
            <v>1</v>
          </cell>
          <cell r="G144">
            <v>15</v>
          </cell>
          <cell r="H144">
            <v>16</v>
          </cell>
          <cell r="I144">
            <v>8</v>
          </cell>
          <cell r="J144">
            <v>6</v>
          </cell>
          <cell r="K144">
            <v>14</v>
          </cell>
        </row>
        <row r="145">
          <cell r="A145">
            <v>10105553</v>
          </cell>
          <cell r="B145" t="str">
            <v>'10105553',</v>
          </cell>
          <cell r="C145" t="str">
            <v>La concha y sazón infancia</v>
          </cell>
          <cell r="D145" t="str">
            <v>PE Dir Sur</v>
          </cell>
          <cell r="E145" t="str">
            <v>PE Ger P3 Cusco</v>
          </cell>
          <cell r="F145">
            <v>6</v>
          </cell>
          <cell r="G145">
            <v>16</v>
          </cell>
          <cell r="H145">
            <v>22</v>
          </cell>
          <cell r="I145">
            <v>7</v>
          </cell>
          <cell r="J145">
            <v>8</v>
          </cell>
          <cell r="K145">
            <v>15</v>
          </cell>
        </row>
        <row r="146">
          <cell r="A146">
            <v>14199734</v>
          </cell>
          <cell r="B146" t="str">
            <v>'14199734',</v>
          </cell>
          <cell r="C146" t="str">
            <v>CEVICHERIA MAR ADENTRO</v>
          </cell>
          <cell r="D146" t="str">
            <v>PE Dir Sur</v>
          </cell>
          <cell r="E146" t="str">
            <v>PE Ger P3 Sur Chico</v>
          </cell>
          <cell r="F146">
            <v>4</v>
          </cell>
          <cell r="G146">
            <v>13</v>
          </cell>
          <cell r="H146">
            <v>17</v>
          </cell>
          <cell r="I146">
            <v>4</v>
          </cell>
          <cell r="J146">
            <v>3</v>
          </cell>
          <cell r="K146">
            <v>7</v>
          </cell>
        </row>
        <row r="147">
          <cell r="A147">
            <v>14070196</v>
          </cell>
          <cell r="B147" t="str">
            <v>'14070196',</v>
          </cell>
          <cell r="C147" t="str">
            <v>ISLA DEL ENCANTO</v>
          </cell>
          <cell r="D147" t="str">
            <v>PE Dir Lima</v>
          </cell>
          <cell r="E147" t="str">
            <v>PE Ger P1 Lima Este</v>
          </cell>
          <cell r="F147">
            <v>3</v>
          </cell>
          <cell r="G147">
            <v>20</v>
          </cell>
          <cell r="H147">
            <v>23</v>
          </cell>
          <cell r="I147">
            <v>1</v>
          </cell>
          <cell r="J147">
            <v>18</v>
          </cell>
          <cell r="K147">
            <v>19</v>
          </cell>
        </row>
        <row r="148">
          <cell r="A148">
            <v>13835594</v>
          </cell>
          <cell r="B148" t="str">
            <v>'13835594',</v>
          </cell>
          <cell r="C148" t="str">
            <v>westres chucuito</v>
          </cell>
          <cell r="D148" t="str">
            <v>PE Dir Lima</v>
          </cell>
          <cell r="E148" t="str">
            <v>PE Ger P1 Lima Oeste</v>
          </cell>
          <cell r="F148">
            <v>0</v>
          </cell>
          <cell r="G148">
            <v>21</v>
          </cell>
          <cell r="H148">
            <v>21</v>
          </cell>
          <cell r="I148">
            <v>0</v>
          </cell>
          <cell r="J148">
            <v>12</v>
          </cell>
          <cell r="K148">
            <v>12</v>
          </cell>
        </row>
        <row r="149">
          <cell r="A149">
            <v>11262038</v>
          </cell>
          <cell r="B149" t="str">
            <v>'11262038',</v>
          </cell>
          <cell r="C149" t="str">
            <v>Club Departamental Apurimac</v>
          </cell>
          <cell r="D149" t="str">
            <v>PE Dir Lima</v>
          </cell>
          <cell r="E149" t="str">
            <v>PE Ger P1 Lima Centr</v>
          </cell>
          <cell r="F149">
            <v>0</v>
          </cell>
          <cell r="G149">
            <v>14</v>
          </cell>
          <cell r="H149">
            <v>14</v>
          </cell>
          <cell r="I149">
            <v>0</v>
          </cell>
          <cell r="J149">
            <v>4</v>
          </cell>
          <cell r="K149">
            <v>4</v>
          </cell>
        </row>
        <row r="150">
          <cell r="A150">
            <v>14184031</v>
          </cell>
          <cell r="B150" t="str">
            <v>'14184031',</v>
          </cell>
          <cell r="C150" t="str">
            <v>Mulli Steak &amp; Wine</v>
          </cell>
          <cell r="D150" t="str">
            <v>PE Dir Sur</v>
          </cell>
          <cell r="E150" t="str">
            <v>PE Ger P3 Cusco</v>
          </cell>
          <cell r="F150">
            <v>3</v>
          </cell>
          <cell r="G150">
            <v>13</v>
          </cell>
          <cell r="H150">
            <v>16</v>
          </cell>
          <cell r="I150">
            <v>4</v>
          </cell>
          <cell r="J150">
            <v>9</v>
          </cell>
          <cell r="K150">
            <v>13</v>
          </cell>
        </row>
        <row r="151">
          <cell r="A151">
            <v>13484074</v>
          </cell>
          <cell r="B151" t="str">
            <v>'13484074',</v>
          </cell>
          <cell r="C151" t="str">
            <v>Tikasara</v>
          </cell>
          <cell r="D151" t="str">
            <v>PE Dir Sur</v>
          </cell>
          <cell r="E151" t="str">
            <v>PE Ger P3 Cusco</v>
          </cell>
          <cell r="F151">
            <v>3</v>
          </cell>
          <cell r="G151">
            <v>11</v>
          </cell>
          <cell r="H151">
            <v>14</v>
          </cell>
          <cell r="I151">
            <v>0</v>
          </cell>
          <cell r="J151">
            <v>0</v>
          </cell>
          <cell r="K151">
            <v>0</v>
          </cell>
        </row>
        <row r="152">
          <cell r="A152">
            <v>13549318</v>
          </cell>
          <cell r="B152" t="str">
            <v>'13549318',</v>
          </cell>
          <cell r="C152" t="str">
            <v>Senior Blue</v>
          </cell>
          <cell r="D152" t="str">
            <v>PE Dir Lima</v>
          </cell>
          <cell r="E152" t="str">
            <v>PE Ger P1 Lima Centr</v>
          </cell>
          <cell r="F152">
            <v>0</v>
          </cell>
          <cell r="G152">
            <v>20</v>
          </cell>
          <cell r="H152">
            <v>20</v>
          </cell>
          <cell r="I152">
            <v>0</v>
          </cell>
          <cell r="J152">
            <v>12</v>
          </cell>
          <cell r="K152">
            <v>12</v>
          </cell>
        </row>
        <row r="153">
          <cell r="A153">
            <v>10257925</v>
          </cell>
          <cell r="B153" t="str">
            <v>'10257925',</v>
          </cell>
          <cell r="C153" t="str">
            <v>La Huerta</v>
          </cell>
          <cell r="D153" t="str">
            <v>PE Dir Lima</v>
          </cell>
          <cell r="E153" t="str">
            <v>PE Ger P1 Lima Oeste</v>
          </cell>
          <cell r="F153">
            <v>8</v>
          </cell>
          <cell r="G153">
            <v>20</v>
          </cell>
          <cell r="H153">
            <v>28</v>
          </cell>
          <cell r="I153">
            <v>0</v>
          </cell>
          <cell r="J153">
            <v>20</v>
          </cell>
          <cell r="K153">
            <v>20</v>
          </cell>
        </row>
        <row r="154">
          <cell r="A154">
            <v>14268181</v>
          </cell>
          <cell r="B154" t="str">
            <v>'14268181',</v>
          </cell>
          <cell r="C154" t="str">
            <v>RESTAURANTE MARISQUERIA PAUCAR</v>
          </cell>
          <cell r="D154" t="str">
            <v>PE Dir Norte</v>
          </cell>
          <cell r="E154" t="str">
            <v>PE Ger P2 Piura</v>
          </cell>
          <cell r="F154">
            <v>4</v>
          </cell>
          <cell r="G154">
            <v>11</v>
          </cell>
          <cell r="H154">
            <v>15</v>
          </cell>
          <cell r="I154">
            <v>0</v>
          </cell>
          <cell r="J154">
            <v>10</v>
          </cell>
          <cell r="K154">
            <v>10</v>
          </cell>
        </row>
        <row r="155">
          <cell r="A155">
            <v>14312172</v>
          </cell>
          <cell r="B155" t="str">
            <v>'14312172',</v>
          </cell>
          <cell r="C155" t="str">
            <v>Mareas Ceviche &amp; Mas</v>
          </cell>
          <cell r="D155" t="str">
            <v>PE Dir Sur</v>
          </cell>
          <cell r="E155" t="str">
            <v>PE Ger P3 Puno</v>
          </cell>
          <cell r="F155">
            <v>3</v>
          </cell>
          <cell r="G155">
            <v>29</v>
          </cell>
          <cell r="H155">
            <v>32</v>
          </cell>
          <cell r="I155">
            <v>4</v>
          </cell>
          <cell r="J155">
            <v>23</v>
          </cell>
          <cell r="K155">
            <v>27</v>
          </cell>
        </row>
        <row r="156">
          <cell r="A156">
            <v>10100899</v>
          </cell>
          <cell r="B156" t="str">
            <v>'10100899',</v>
          </cell>
          <cell r="C156" t="str">
            <v>Arenas del lago</v>
          </cell>
          <cell r="D156" t="str">
            <v>PE Dir Sur</v>
          </cell>
          <cell r="E156" t="str">
            <v>PE Ger P3 Puno</v>
          </cell>
          <cell r="F156">
            <v>4</v>
          </cell>
          <cell r="G156">
            <v>12</v>
          </cell>
          <cell r="H156">
            <v>16</v>
          </cell>
          <cell r="I156">
            <v>4</v>
          </cell>
          <cell r="J156">
            <v>12</v>
          </cell>
          <cell r="K156">
            <v>16</v>
          </cell>
        </row>
        <row r="157">
          <cell r="A157">
            <v>14389574</v>
          </cell>
          <cell r="B157" t="str">
            <v>'14389574',</v>
          </cell>
          <cell r="C157" t="str">
            <v>Un cebichito</v>
          </cell>
          <cell r="D157" t="str">
            <v>PE Dir Sur</v>
          </cell>
          <cell r="E157" t="str">
            <v>PE Ger P3 Tacna</v>
          </cell>
          <cell r="F157">
            <v>3</v>
          </cell>
          <cell r="G157">
            <v>16</v>
          </cell>
          <cell r="H157">
            <v>19</v>
          </cell>
          <cell r="I157">
            <v>0</v>
          </cell>
          <cell r="J157">
            <v>0</v>
          </cell>
          <cell r="K157">
            <v>0</v>
          </cell>
        </row>
        <row r="158">
          <cell r="A158">
            <v>12705101</v>
          </cell>
          <cell r="B158" t="str">
            <v>'12705101',</v>
          </cell>
          <cell r="C158" t="str">
            <v>Restaurant Cevicheria El Balcon De Jimmy</v>
          </cell>
          <cell r="D158" t="str">
            <v>PE Dir Norte</v>
          </cell>
          <cell r="E158" t="str">
            <v>PE Ger P2 Piura</v>
          </cell>
          <cell r="F158">
            <v>5</v>
          </cell>
          <cell r="G158">
            <v>8</v>
          </cell>
          <cell r="H158">
            <v>13</v>
          </cell>
          <cell r="I158">
            <v>0</v>
          </cell>
          <cell r="J158">
            <v>0</v>
          </cell>
          <cell r="K158">
            <v>0</v>
          </cell>
        </row>
        <row r="159">
          <cell r="A159">
            <v>13789773</v>
          </cell>
          <cell r="B159" t="str">
            <v>'13789773',</v>
          </cell>
          <cell r="C159" t="str">
            <v>Don Pancho Taberna Peruana</v>
          </cell>
          <cell r="D159" t="str">
            <v>PE Dir Sur</v>
          </cell>
          <cell r="E159" t="str">
            <v>PE Ger P3 Cusco</v>
          </cell>
          <cell r="F159">
            <v>0</v>
          </cell>
          <cell r="G159">
            <v>23</v>
          </cell>
          <cell r="H159">
            <v>23</v>
          </cell>
          <cell r="I159">
            <v>0</v>
          </cell>
          <cell r="J159">
            <v>7</v>
          </cell>
          <cell r="K159">
            <v>7</v>
          </cell>
        </row>
        <row r="160">
          <cell r="A160">
            <v>13970549</v>
          </cell>
          <cell r="B160" t="str">
            <v>'13970549',</v>
          </cell>
          <cell r="C160" t="str">
            <v>Bisonte plaza armas</v>
          </cell>
          <cell r="D160" t="str">
            <v>PE Dir Sur</v>
          </cell>
          <cell r="E160" t="str">
            <v>PE Ger P3 Cusco</v>
          </cell>
          <cell r="F160">
            <v>0</v>
          </cell>
          <cell r="G160">
            <v>19</v>
          </cell>
          <cell r="H160">
            <v>19</v>
          </cell>
          <cell r="I160">
            <v>0</v>
          </cell>
          <cell r="J160">
            <v>10</v>
          </cell>
          <cell r="K160">
            <v>10</v>
          </cell>
        </row>
        <row r="161">
          <cell r="A161">
            <v>12936373</v>
          </cell>
          <cell r="B161" t="str">
            <v>'12936373',</v>
          </cell>
          <cell r="C161" t="str">
            <v>Mala Maña</v>
          </cell>
          <cell r="D161" t="str">
            <v>PE Dir Norte</v>
          </cell>
          <cell r="E161" t="str">
            <v>PE Ger P2 Trujillo</v>
          </cell>
          <cell r="F161">
            <v>0</v>
          </cell>
          <cell r="G161">
            <v>19</v>
          </cell>
          <cell r="H161">
            <v>19</v>
          </cell>
          <cell r="I161">
            <v>0</v>
          </cell>
          <cell r="J161">
            <v>0</v>
          </cell>
          <cell r="K161">
            <v>0</v>
          </cell>
        </row>
        <row r="162">
          <cell r="A162">
            <v>14035206</v>
          </cell>
          <cell r="B162" t="str">
            <v>'14035206',</v>
          </cell>
          <cell r="C162" t="str">
            <v>El Rincón De La Gorda</v>
          </cell>
          <cell r="D162" t="str">
            <v>PE Dir Norte</v>
          </cell>
          <cell r="E162" t="str">
            <v>PE Ger P2 Chiclay Ca</v>
          </cell>
          <cell r="F162">
            <v>4</v>
          </cell>
          <cell r="G162">
            <v>13</v>
          </cell>
          <cell r="H162">
            <v>17</v>
          </cell>
          <cell r="I162">
            <v>0</v>
          </cell>
          <cell r="J162">
            <v>17</v>
          </cell>
          <cell r="K162">
            <v>17</v>
          </cell>
        </row>
        <row r="163">
          <cell r="A163">
            <v>11645793</v>
          </cell>
          <cell r="B163" t="str">
            <v>'11645793',</v>
          </cell>
          <cell r="C163" t="str">
            <v>Nakamura Restaurante</v>
          </cell>
          <cell r="D163" t="str">
            <v>PE Dir Lima</v>
          </cell>
          <cell r="E163" t="str">
            <v>PE Ger P1 Lima Oeste</v>
          </cell>
          <cell r="F163">
            <v>5</v>
          </cell>
          <cell r="G163">
            <v>11</v>
          </cell>
          <cell r="H163">
            <v>16</v>
          </cell>
          <cell r="I163">
            <v>0</v>
          </cell>
          <cell r="J163">
            <v>17</v>
          </cell>
          <cell r="K163">
            <v>17</v>
          </cell>
        </row>
        <row r="164">
          <cell r="A164">
            <v>10986285</v>
          </cell>
          <cell r="B164" t="str">
            <v>'10986285',</v>
          </cell>
          <cell r="C164" t="str">
            <v>Mis costillitas</v>
          </cell>
          <cell r="D164" t="str">
            <v>PE Dir Sur</v>
          </cell>
          <cell r="E164" t="str">
            <v>PE Ger P3 Arequipa</v>
          </cell>
          <cell r="F164">
            <v>1</v>
          </cell>
          <cell r="G164">
            <v>16</v>
          </cell>
          <cell r="H164">
            <v>17</v>
          </cell>
          <cell r="I164">
            <v>0</v>
          </cell>
          <cell r="J164">
            <v>4</v>
          </cell>
          <cell r="K164">
            <v>4</v>
          </cell>
        </row>
        <row r="165">
          <cell r="A165">
            <v>12780931</v>
          </cell>
          <cell r="B165" t="str">
            <v>'12780931',</v>
          </cell>
          <cell r="C165" t="str">
            <v>Villa Barboza - Misky Mikuy</v>
          </cell>
          <cell r="D165" t="str">
            <v>PE Dir Sur</v>
          </cell>
          <cell r="E165" t="str">
            <v>PE Ger P3 Ayacucho</v>
          </cell>
          <cell r="F165">
            <v>0</v>
          </cell>
          <cell r="G165">
            <v>12</v>
          </cell>
          <cell r="H165">
            <v>12</v>
          </cell>
          <cell r="I165">
            <v>0</v>
          </cell>
          <cell r="J165">
            <v>9</v>
          </cell>
          <cell r="K165">
            <v>9</v>
          </cell>
        </row>
        <row r="166">
          <cell r="A166">
            <v>11311718</v>
          </cell>
          <cell r="B166" t="str">
            <v>'11311718',</v>
          </cell>
          <cell r="C166" t="str">
            <v>Cholos Cocina Peruana</v>
          </cell>
          <cell r="D166" t="str">
            <v>PE Dir Sur</v>
          </cell>
          <cell r="E166" t="str">
            <v>PE Ger P3 Cusco</v>
          </cell>
          <cell r="F166">
            <v>1</v>
          </cell>
          <cell r="G166">
            <v>14</v>
          </cell>
          <cell r="H166">
            <v>15</v>
          </cell>
          <cell r="I166">
            <v>0</v>
          </cell>
          <cell r="J166">
            <v>8</v>
          </cell>
          <cell r="K166">
            <v>8</v>
          </cell>
        </row>
        <row r="167">
          <cell r="A167">
            <v>14309077</v>
          </cell>
          <cell r="B167" t="str">
            <v>'14309077',</v>
          </cell>
          <cell r="C167" t="str">
            <v>El Caserón y su siquisapa</v>
          </cell>
          <cell r="D167" t="str">
            <v>PE Dir Lima</v>
          </cell>
          <cell r="E167" t="str">
            <v>PE Ger P1 Lima Centr</v>
          </cell>
          <cell r="F167">
            <v>4</v>
          </cell>
          <cell r="G167">
            <v>18</v>
          </cell>
          <cell r="H167">
            <v>22</v>
          </cell>
          <cell r="I167">
            <v>0</v>
          </cell>
          <cell r="J167">
            <v>0</v>
          </cell>
          <cell r="K167">
            <v>0</v>
          </cell>
        </row>
        <row r="168">
          <cell r="A168">
            <v>10240990</v>
          </cell>
          <cell r="B168" t="str">
            <v>'10240990',</v>
          </cell>
          <cell r="C168" t="str">
            <v>PUERTO CARIBE</v>
          </cell>
          <cell r="D168" t="str">
            <v>PE Dir Lima</v>
          </cell>
          <cell r="E168" t="str">
            <v>PE Ger P1 Lima Oeste</v>
          </cell>
          <cell r="F168">
            <v>4</v>
          </cell>
          <cell r="G168">
            <v>15</v>
          </cell>
          <cell r="H168">
            <v>19</v>
          </cell>
          <cell r="I168">
            <v>0</v>
          </cell>
          <cell r="J168">
            <v>16</v>
          </cell>
          <cell r="K168">
            <v>16</v>
          </cell>
        </row>
        <row r="169">
          <cell r="A169">
            <v>11329815</v>
          </cell>
          <cell r="B169" t="str">
            <v>'11329815',</v>
          </cell>
          <cell r="C169" t="str">
            <v>Restaurant - Cevichería La isla del Piuranito</v>
          </cell>
          <cell r="D169" t="str">
            <v>PE Dir Norte</v>
          </cell>
          <cell r="E169" t="str">
            <v>PE Ger P2 Piura</v>
          </cell>
          <cell r="F169">
            <v>4</v>
          </cell>
          <cell r="G169">
            <v>11</v>
          </cell>
          <cell r="H169">
            <v>15</v>
          </cell>
          <cell r="I169">
            <v>1</v>
          </cell>
          <cell r="J169">
            <v>8</v>
          </cell>
          <cell r="K169">
            <v>9</v>
          </cell>
        </row>
        <row r="170">
          <cell r="A170">
            <v>14296432</v>
          </cell>
          <cell r="B170" t="str">
            <v>'14296432',</v>
          </cell>
          <cell r="C170" t="str">
            <v>RINCON DE KATATOS</v>
          </cell>
          <cell r="D170" t="str">
            <v>PE Dir Sur</v>
          </cell>
          <cell r="E170" t="str">
            <v>PE Ger P3 Sur Chico</v>
          </cell>
          <cell r="F170">
            <v>1</v>
          </cell>
          <cell r="G170">
            <v>13</v>
          </cell>
          <cell r="H170">
            <v>14</v>
          </cell>
          <cell r="I170">
            <v>0</v>
          </cell>
          <cell r="J170">
            <v>10</v>
          </cell>
          <cell r="K170">
            <v>10</v>
          </cell>
        </row>
        <row r="171">
          <cell r="A171">
            <v>13741893</v>
          </cell>
          <cell r="B171" t="str">
            <v>'13741893',</v>
          </cell>
          <cell r="C171" t="str">
            <v>Cactus</v>
          </cell>
          <cell r="D171" t="str">
            <v>PE Dir Norte</v>
          </cell>
          <cell r="E171" t="str">
            <v>PE Ger P2 Trujillo</v>
          </cell>
          <cell r="F171">
            <v>5</v>
          </cell>
          <cell r="G171">
            <v>11</v>
          </cell>
          <cell r="H171">
            <v>16</v>
          </cell>
          <cell r="I171">
            <v>0</v>
          </cell>
          <cell r="J171">
            <v>0</v>
          </cell>
          <cell r="K171">
            <v>0</v>
          </cell>
        </row>
        <row r="172">
          <cell r="A172">
            <v>13800054</v>
          </cell>
          <cell r="B172" t="str">
            <v>'13800054',</v>
          </cell>
          <cell r="C172" t="str">
            <v>EL CORDON Y LA ROSA LA ANGOSTURA</v>
          </cell>
          <cell r="D172" t="str">
            <v>PE Dir Sur</v>
          </cell>
          <cell r="E172" t="str">
            <v>PE Ger P3 Sur Chico</v>
          </cell>
          <cell r="F172">
            <v>4</v>
          </cell>
          <cell r="G172">
            <v>11</v>
          </cell>
          <cell r="H172">
            <v>15</v>
          </cell>
          <cell r="I172">
            <v>0</v>
          </cell>
          <cell r="J172">
            <v>11</v>
          </cell>
          <cell r="K172">
            <v>11</v>
          </cell>
        </row>
        <row r="173">
          <cell r="A173">
            <v>14061138</v>
          </cell>
          <cell r="B173" t="str">
            <v>'14061138',</v>
          </cell>
          <cell r="C173" t="str">
            <v>Tesoro marino</v>
          </cell>
          <cell r="D173" t="str">
            <v>PE Dir Lima</v>
          </cell>
          <cell r="E173" t="str">
            <v>PE Ger P1 Lima Norte</v>
          </cell>
          <cell r="F173">
            <v>4</v>
          </cell>
          <cell r="G173">
            <v>10</v>
          </cell>
          <cell r="H173">
            <v>14</v>
          </cell>
          <cell r="I173">
            <v>0</v>
          </cell>
          <cell r="J173">
            <v>6</v>
          </cell>
          <cell r="K173">
            <v>6</v>
          </cell>
        </row>
        <row r="174">
          <cell r="A174">
            <v>13440957</v>
          </cell>
          <cell r="B174" t="str">
            <v>'13440957',</v>
          </cell>
          <cell r="C174" t="str">
            <v>Qollota</v>
          </cell>
          <cell r="D174" t="str">
            <v>PE Dir Lima</v>
          </cell>
          <cell r="E174" t="str">
            <v>PE Ger P1 Lima Sur</v>
          </cell>
          <cell r="F174">
            <v>5</v>
          </cell>
          <cell r="G174">
            <v>21</v>
          </cell>
          <cell r="H174">
            <v>26</v>
          </cell>
          <cell r="I174">
            <v>0</v>
          </cell>
          <cell r="J174">
            <v>4</v>
          </cell>
          <cell r="K174">
            <v>4</v>
          </cell>
        </row>
        <row r="175">
          <cell r="A175">
            <v>13766968</v>
          </cell>
          <cell r="B175" t="str">
            <v>'13766968',</v>
          </cell>
          <cell r="C175" t="str">
            <v>TABU</v>
          </cell>
          <cell r="D175" t="str">
            <v>PE Dir Centro Orient</v>
          </cell>
          <cell r="E175" t="str">
            <v>PE Ger P4 Tarapoto</v>
          </cell>
          <cell r="F175">
            <v>3</v>
          </cell>
          <cell r="G175">
            <v>9</v>
          </cell>
          <cell r="H175">
            <v>12</v>
          </cell>
          <cell r="I175">
            <v>0</v>
          </cell>
          <cell r="J175">
            <v>4</v>
          </cell>
          <cell r="K175">
            <v>4</v>
          </cell>
        </row>
        <row r="176">
          <cell r="A176">
            <v>10109355</v>
          </cell>
          <cell r="B176" t="str">
            <v>'10109355',</v>
          </cell>
          <cell r="C176" t="str">
            <v>Tunupa</v>
          </cell>
          <cell r="D176" t="str">
            <v>PE Dir Sur</v>
          </cell>
          <cell r="E176" t="str">
            <v>PE Ger P3 Cusco</v>
          </cell>
          <cell r="F176">
            <v>2</v>
          </cell>
          <cell r="G176">
            <v>15</v>
          </cell>
          <cell r="H176">
            <v>17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14482744</v>
          </cell>
          <cell r="B177" t="str">
            <v>'14482744',</v>
          </cell>
          <cell r="C177" t="str">
            <v>Carajito</v>
          </cell>
          <cell r="D177" t="str">
            <v>PE Dir Sur</v>
          </cell>
          <cell r="E177" t="str">
            <v>PE Ger P3 Cusco</v>
          </cell>
          <cell r="F177">
            <v>4</v>
          </cell>
          <cell r="G177">
            <v>7</v>
          </cell>
          <cell r="H177">
            <v>11</v>
          </cell>
          <cell r="I177">
            <v>0</v>
          </cell>
          <cell r="J177">
            <v>0</v>
          </cell>
          <cell r="K177">
            <v>0</v>
          </cell>
        </row>
        <row r="178">
          <cell r="A178">
            <v>10165629</v>
          </cell>
          <cell r="B178" t="str">
            <v>'10165629',</v>
          </cell>
          <cell r="C178" t="str">
            <v>El Escondite BLONDET</v>
          </cell>
          <cell r="D178" t="str">
            <v>PE Dir Lima</v>
          </cell>
          <cell r="E178" t="str">
            <v>PE Ger P1 Lima Este</v>
          </cell>
          <cell r="F178">
            <v>0</v>
          </cell>
          <cell r="G178">
            <v>17</v>
          </cell>
          <cell r="H178">
            <v>17</v>
          </cell>
          <cell r="I178">
            <v>0</v>
          </cell>
          <cell r="J178">
            <v>4</v>
          </cell>
          <cell r="K178">
            <v>4</v>
          </cell>
        </row>
        <row r="179">
          <cell r="A179">
            <v>11554320</v>
          </cell>
          <cell r="B179" t="str">
            <v>'11554320',</v>
          </cell>
          <cell r="C179" t="str">
            <v>El Gran Chef</v>
          </cell>
          <cell r="D179" t="str">
            <v>PE Dir Norte</v>
          </cell>
          <cell r="E179" t="str">
            <v>PE Ger P2 Chiclay Ca</v>
          </cell>
          <cell r="F179">
            <v>5</v>
          </cell>
          <cell r="G179">
            <v>11</v>
          </cell>
          <cell r="H179">
            <v>16</v>
          </cell>
          <cell r="I179">
            <v>5</v>
          </cell>
          <cell r="J179">
            <v>0</v>
          </cell>
          <cell r="K179">
            <v>5</v>
          </cell>
        </row>
        <row r="180">
          <cell r="A180">
            <v>11649898</v>
          </cell>
          <cell r="B180" t="str">
            <v>'11649898',</v>
          </cell>
          <cell r="C180" t="str">
            <v>La Glorieta de Pocollay</v>
          </cell>
          <cell r="D180" t="str">
            <v>PE Dir Sur</v>
          </cell>
          <cell r="E180" t="str">
            <v>PE Ger P3 Tacna</v>
          </cell>
          <cell r="F180">
            <v>0</v>
          </cell>
          <cell r="G180">
            <v>12</v>
          </cell>
          <cell r="H180">
            <v>12</v>
          </cell>
          <cell r="I180">
            <v>0</v>
          </cell>
          <cell r="J180">
            <v>10</v>
          </cell>
          <cell r="K180">
            <v>10</v>
          </cell>
        </row>
        <row r="181">
          <cell r="A181">
            <v>14339322</v>
          </cell>
          <cell r="B181" t="str">
            <v>'14339322',</v>
          </cell>
          <cell r="C181" t="str">
            <v>Cevicheria Roca Marina</v>
          </cell>
          <cell r="D181" t="str">
            <v>PE Dir Lima</v>
          </cell>
          <cell r="E181" t="str">
            <v>PE Ger P1 Lima Oeste</v>
          </cell>
          <cell r="F181">
            <v>1</v>
          </cell>
          <cell r="G181">
            <v>24</v>
          </cell>
          <cell r="H181">
            <v>25</v>
          </cell>
          <cell r="I181">
            <v>0</v>
          </cell>
          <cell r="J181">
            <v>25</v>
          </cell>
          <cell r="K181">
            <v>25</v>
          </cell>
        </row>
        <row r="182">
          <cell r="A182">
            <v>13780017</v>
          </cell>
          <cell r="B182" t="str">
            <v>'13780017',</v>
          </cell>
          <cell r="C182" t="str">
            <v>Donde vale</v>
          </cell>
          <cell r="D182" t="str">
            <v>PE Dir Norte</v>
          </cell>
          <cell r="E182" t="str">
            <v>PE Ger P2 Tumbes T</v>
          </cell>
          <cell r="F182">
            <v>2</v>
          </cell>
          <cell r="G182">
            <v>16</v>
          </cell>
          <cell r="H182">
            <v>18</v>
          </cell>
          <cell r="I182">
            <v>0</v>
          </cell>
          <cell r="J182">
            <v>0</v>
          </cell>
          <cell r="K182">
            <v>0</v>
          </cell>
        </row>
        <row r="183">
          <cell r="A183">
            <v>12969188</v>
          </cell>
          <cell r="B183" t="str">
            <v>'12969188',</v>
          </cell>
          <cell r="C183" t="str">
            <v>El Carmen</v>
          </cell>
          <cell r="D183" t="str">
            <v>PE Dir Norte</v>
          </cell>
          <cell r="E183" t="str">
            <v>PE Ger P2 Piura</v>
          </cell>
          <cell r="F183">
            <v>2</v>
          </cell>
          <cell r="G183">
            <v>9</v>
          </cell>
          <cell r="H183">
            <v>11</v>
          </cell>
          <cell r="I183">
            <v>0</v>
          </cell>
          <cell r="J183">
            <v>0</v>
          </cell>
          <cell r="K183">
            <v>0</v>
          </cell>
        </row>
        <row r="184">
          <cell r="A184">
            <v>14330831</v>
          </cell>
          <cell r="B184" t="str">
            <v>'14330831',</v>
          </cell>
          <cell r="C184" t="str">
            <v>Restaurant Cevicheria Mi Chocolatito</v>
          </cell>
          <cell r="D184" t="str">
            <v>PE Dir Norte</v>
          </cell>
          <cell r="E184" t="str">
            <v>PE Ger P2 Piura</v>
          </cell>
          <cell r="F184">
            <v>7</v>
          </cell>
          <cell r="G184">
            <v>5</v>
          </cell>
          <cell r="H184">
            <v>12</v>
          </cell>
          <cell r="I184">
            <v>0</v>
          </cell>
          <cell r="J184">
            <v>0</v>
          </cell>
          <cell r="K184">
            <v>0</v>
          </cell>
        </row>
        <row r="185">
          <cell r="A185">
            <v>10474598</v>
          </cell>
          <cell r="B185" t="str">
            <v>'10474598',</v>
          </cell>
          <cell r="C185" t="str">
            <v>NORTE MARINO</v>
          </cell>
          <cell r="D185" t="str">
            <v>PE Dir Sur</v>
          </cell>
          <cell r="E185" t="str">
            <v>PE Ger P3 Arequipa</v>
          </cell>
          <cell r="F185">
            <v>3</v>
          </cell>
          <cell r="G185">
            <v>10</v>
          </cell>
          <cell r="H185">
            <v>13</v>
          </cell>
          <cell r="I185">
            <v>3</v>
          </cell>
          <cell r="J185">
            <v>14</v>
          </cell>
          <cell r="K185">
            <v>17</v>
          </cell>
        </row>
        <row r="186">
          <cell r="A186">
            <v>11313853</v>
          </cell>
          <cell r="B186" t="str">
            <v>'11313853',</v>
          </cell>
          <cell r="C186" t="str">
            <v>Recreo Don Julian</v>
          </cell>
          <cell r="D186" t="str">
            <v>PE Dir Sur</v>
          </cell>
          <cell r="E186" t="str">
            <v>PE Ger P3 Ayacucho</v>
          </cell>
          <cell r="F186">
            <v>0</v>
          </cell>
          <cell r="G186">
            <v>10</v>
          </cell>
          <cell r="H186">
            <v>10</v>
          </cell>
          <cell r="I186">
            <v>0</v>
          </cell>
          <cell r="J186">
            <v>6</v>
          </cell>
          <cell r="K186">
            <v>6</v>
          </cell>
        </row>
        <row r="187">
          <cell r="A187">
            <v>11232431</v>
          </cell>
          <cell r="B187" t="str">
            <v>'11232431',</v>
          </cell>
          <cell r="C187" t="str">
            <v>RUMI WASI</v>
          </cell>
          <cell r="D187" t="str">
            <v>PE Dir Sur</v>
          </cell>
          <cell r="E187" t="str">
            <v>PE Ger P3 Sur Chico</v>
          </cell>
          <cell r="F187">
            <v>0</v>
          </cell>
          <cell r="G187">
            <v>23</v>
          </cell>
          <cell r="H187">
            <v>23</v>
          </cell>
          <cell r="I187">
            <v>0</v>
          </cell>
          <cell r="J187">
            <v>10</v>
          </cell>
          <cell r="K187">
            <v>10</v>
          </cell>
        </row>
        <row r="188">
          <cell r="A188">
            <v>13228398</v>
          </cell>
          <cell r="B188" t="str">
            <v>'13228398',</v>
          </cell>
          <cell r="C188" t="str">
            <v>Cevicheria Keyla 2</v>
          </cell>
          <cell r="D188" t="str">
            <v>PE Dir Lima</v>
          </cell>
          <cell r="E188" t="str">
            <v>PE Ger P1 Lima Norte</v>
          </cell>
          <cell r="F188">
            <v>0</v>
          </cell>
          <cell r="G188">
            <v>21</v>
          </cell>
          <cell r="H188">
            <v>21</v>
          </cell>
          <cell r="I188">
            <v>0</v>
          </cell>
          <cell r="J188">
            <v>14</v>
          </cell>
          <cell r="K188">
            <v>14</v>
          </cell>
        </row>
        <row r="189">
          <cell r="A189">
            <v>14347180</v>
          </cell>
          <cell r="B189" t="str">
            <v>'14347180',</v>
          </cell>
          <cell r="C189" t="str">
            <v>Restaurante D'nima</v>
          </cell>
          <cell r="D189" t="str">
            <v>PE Dir Norte</v>
          </cell>
          <cell r="E189" t="str">
            <v>PE Ger P2 Piura</v>
          </cell>
          <cell r="F189">
            <v>4</v>
          </cell>
          <cell r="G189">
            <v>10</v>
          </cell>
          <cell r="H189">
            <v>14</v>
          </cell>
          <cell r="I189">
            <v>4</v>
          </cell>
          <cell r="J189">
            <v>8</v>
          </cell>
          <cell r="K189">
            <v>12</v>
          </cell>
        </row>
        <row r="190">
          <cell r="A190">
            <v>14421744</v>
          </cell>
          <cell r="B190" t="str">
            <v>'14421744',</v>
          </cell>
          <cell r="C190" t="str">
            <v>Yawar fiesta - centro cultural</v>
          </cell>
          <cell r="D190" t="str">
            <v>PE Dir Sur</v>
          </cell>
          <cell r="E190" t="str">
            <v>PE Ger P3 Ayacucho</v>
          </cell>
          <cell r="F190">
            <v>0</v>
          </cell>
          <cell r="G190">
            <v>10</v>
          </cell>
          <cell r="H190">
            <v>10</v>
          </cell>
          <cell r="I190">
            <v>0</v>
          </cell>
          <cell r="J190">
            <v>6</v>
          </cell>
          <cell r="K190">
            <v>6</v>
          </cell>
        </row>
        <row r="191">
          <cell r="A191">
            <v>11579362</v>
          </cell>
          <cell r="B191" t="str">
            <v>'11579362',</v>
          </cell>
          <cell r="C191" t="str">
            <v>La Cabañita</v>
          </cell>
          <cell r="D191" t="str">
            <v>PE Dir Norte</v>
          </cell>
          <cell r="E191" t="str">
            <v>PE Ger P2 Chiclay Ca</v>
          </cell>
          <cell r="F191">
            <v>2</v>
          </cell>
          <cell r="G191">
            <v>13</v>
          </cell>
          <cell r="H191">
            <v>15</v>
          </cell>
          <cell r="I191">
            <v>0</v>
          </cell>
          <cell r="J191">
            <v>0</v>
          </cell>
          <cell r="K191">
            <v>0</v>
          </cell>
        </row>
        <row r="192">
          <cell r="A192">
            <v>14059820</v>
          </cell>
          <cell r="B192" t="str">
            <v>'14059820',</v>
          </cell>
          <cell r="C192" t="str">
            <v>Micaela</v>
          </cell>
          <cell r="D192" t="str">
            <v>PE Dir Sur</v>
          </cell>
          <cell r="E192" t="str">
            <v>PE Ger P3 Cusco</v>
          </cell>
          <cell r="F192">
            <v>4</v>
          </cell>
          <cell r="G192">
            <v>6</v>
          </cell>
          <cell r="H192">
            <v>10</v>
          </cell>
          <cell r="I192">
            <v>4</v>
          </cell>
          <cell r="J192">
            <v>0</v>
          </cell>
          <cell r="K192">
            <v>4</v>
          </cell>
        </row>
        <row r="193">
          <cell r="A193">
            <v>14052460</v>
          </cell>
          <cell r="B193" t="str">
            <v>'14052460',</v>
          </cell>
          <cell r="C193" t="str">
            <v>El rey de los mariscos</v>
          </cell>
          <cell r="D193" t="str">
            <v>PE Dir Centro Orient</v>
          </cell>
          <cell r="E193" t="str">
            <v>PE Ger P4 Tarapoto</v>
          </cell>
          <cell r="F193">
            <v>0</v>
          </cell>
          <cell r="G193">
            <v>22</v>
          </cell>
          <cell r="H193">
            <v>22</v>
          </cell>
          <cell r="I193">
            <v>0</v>
          </cell>
          <cell r="J193">
            <v>0</v>
          </cell>
          <cell r="K193">
            <v>0</v>
          </cell>
        </row>
        <row r="194">
          <cell r="A194">
            <v>12797572</v>
          </cell>
          <cell r="B194" t="str">
            <v>'12797572',</v>
          </cell>
          <cell r="C194" t="str">
            <v>Norteña Artesanal</v>
          </cell>
          <cell r="D194" t="str">
            <v>PE Dir Norte</v>
          </cell>
          <cell r="E194" t="str">
            <v>PE Ger P2 Tumbes T</v>
          </cell>
          <cell r="F194">
            <v>1</v>
          </cell>
          <cell r="G194">
            <v>10</v>
          </cell>
          <cell r="H194">
            <v>11</v>
          </cell>
          <cell r="I194">
            <v>0</v>
          </cell>
          <cell r="J194">
            <v>0</v>
          </cell>
          <cell r="K194">
            <v>0</v>
          </cell>
        </row>
        <row r="195">
          <cell r="A195">
            <v>10028980</v>
          </cell>
          <cell r="B195" t="str">
            <v>'10028980',</v>
          </cell>
          <cell r="C195" t="str">
            <v>Restaurant 111</v>
          </cell>
          <cell r="D195" t="str">
            <v>PE Dir Norte</v>
          </cell>
          <cell r="E195" t="str">
            <v>PE Ger P2 Piura</v>
          </cell>
          <cell r="F195">
            <v>4</v>
          </cell>
          <cell r="G195">
            <v>16</v>
          </cell>
          <cell r="H195">
            <v>20</v>
          </cell>
          <cell r="I195">
            <v>0</v>
          </cell>
          <cell r="J195">
            <v>9</v>
          </cell>
          <cell r="K195">
            <v>9</v>
          </cell>
        </row>
        <row r="196">
          <cell r="A196">
            <v>13323002</v>
          </cell>
          <cell r="B196" t="str">
            <v>'13323002',</v>
          </cell>
          <cell r="C196" t="str">
            <v>Terra Tallanka</v>
          </cell>
          <cell r="D196" t="str">
            <v>PE Dir Norte</v>
          </cell>
          <cell r="E196" t="str">
            <v>PE Ger P2 Piura</v>
          </cell>
          <cell r="F196">
            <v>6</v>
          </cell>
          <cell r="G196">
            <v>15</v>
          </cell>
          <cell r="H196">
            <v>21</v>
          </cell>
          <cell r="I196">
            <v>0</v>
          </cell>
          <cell r="J196">
            <v>0</v>
          </cell>
          <cell r="K196">
            <v>0</v>
          </cell>
        </row>
        <row r="197">
          <cell r="A197">
            <v>12805579</v>
          </cell>
          <cell r="B197" t="str">
            <v>'12805579',</v>
          </cell>
          <cell r="C197" t="str">
            <v>El Encanto D' la Selva</v>
          </cell>
          <cell r="D197" t="str">
            <v>PE Dir Lima</v>
          </cell>
          <cell r="E197" t="str">
            <v>PE Ger P1 Lima Este</v>
          </cell>
          <cell r="F197">
            <v>4</v>
          </cell>
          <cell r="G197">
            <v>7</v>
          </cell>
          <cell r="H197">
            <v>11</v>
          </cell>
          <cell r="I197">
            <v>0</v>
          </cell>
          <cell r="J197">
            <v>0</v>
          </cell>
          <cell r="K197">
            <v>0</v>
          </cell>
        </row>
        <row r="198">
          <cell r="A198">
            <v>12171306</v>
          </cell>
          <cell r="B198" t="str">
            <v>'12171306',</v>
          </cell>
          <cell r="C198" t="str">
            <v>kalimar</v>
          </cell>
          <cell r="D198" t="str">
            <v>PE Dir Norte</v>
          </cell>
          <cell r="E198" t="str">
            <v>PE Ger P2 Chiclay Ca</v>
          </cell>
          <cell r="F198">
            <v>4</v>
          </cell>
          <cell r="G198">
            <v>8</v>
          </cell>
          <cell r="H198">
            <v>12</v>
          </cell>
          <cell r="I198">
            <v>0</v>
          </cell>
          <cell r="J198">
            <v>0</v>
          </cell>
          <cell r="K198">
            <v>0</v>
          </cell>
        </row>
        <row r="199">
          <cell r="A199">
            <v>14191474</v>
          </cell>
          <cell r="B199" t="str">
            <v>'14191474',</v>
          </cell>
          <cell r="C199" t="str">
            <v>Restaurant Cevicheria Mancora Beach</v>
          </cell>
          <cell r="D199" t="str">
            <v>PE Dir Norte</v>
          </cell>
          <cell r="E199" t="str">
            <v>PE Ger P2 Piura</v>
          </cell>
          <cell r="F199">
            <v>7</v>
          </cell>
          <cell r="G199">
            <v>2</v>
          </cell>
          <cell r="H199">
            <v>9</v>
          </cell>
          <cell r="I199">
            <v>0</v>
          </cell>
          <cell r="J199">
            <v>0</v>
          </cell>
          <cell r="K199">
            <v>0</v>
          </cell>
        </row>
        <row r="200">
          <cell r="A200">
            <v>13248359</v>
          </cell>
          <cell r="B200" t="str">
            <v>'13248359',</v>
          </cell>
          <cell r="C200" t="str">
            <v>fusion cevicheria</v>
          </cell>
          <cell r="D200" t="str">
            <v>PE Dir Sur</v>
          </cell>
          <cell r="E200" t="str">
            <v>PE Ger P3 Tacna</v>
          </cell>
          <cell r="F200">
            <v>2</v>
          </cell>
          <cell r="G200">
            <v>12</v>
          </cell>
          <cell r="H200">
            <v>14</v>
          </cell>
          <cell r="I200">
            <v>0</v>
          </cell>
          <cell r="J200">
            <v>4</v>
          </cell>
          <cell r="K200">
            <v>4</v>
          </cell>
        </row>
        <row r="201">
          <cell r="A201">
            <v>14386713</v>
          </cell>
          <cell r="B201" t="str">
            <v>'14386713',</v>
          </cell>
          <cell r="C201" t="str">
            <v>Sullana</v>
          </cell>
          <cell r="D201" t="str">
            <v>PE Dir Lima</v>
          </cell>
          <cell r="E201" t="str">
            <v>PE Ger P1 Lima Norte</v>
          </cell>
          <cell r="F201">
            <v>3</v>
          </cell>
          <cell r="G201">
            <v>7</v>
          </cell>
          <cell r="H201">
            <v>10</v>
          </cell>
          <cell r="I201">
            <v>0</v>
          </cell>
          <cell r="J201">
            <v>14</v>
          </cell>
          <cell r="K201">
            <v>14</v>
          </cell>
        </row>
        <row r="202">
          <cell r="A202">
            <v>12570577</v>
          </cell>
          <cell r="B202" t="str">
            <v>'12570577',</v>
          </cell>
          <cell r="C202" t="str">
            <v>EL TIBURON</v>
          </cell>
          <cell r="D202" t="str">
            <v>PE Dir Lima</v>
          </cell>
          <cell r="E202" t="str">
            <v>PE Ger P1 Lima Sur</v>
          </cell>
          <cell r="F202">
            <v>3</v>
          </cell>
          <cell r="G202">
            <v>10</v>
          </cell>
          <cell r="H202">
            <v>13</v>
          </cell>
          <cell r="I202">
            <v>0</v>
          </cell>
          <cell r="J202">
            <v>9</v>
          </cell>
          <cell r="K202">
            <v>9</v>
          </cell>
        </row>
        <row r="203">
          <cell r="A203">
            <v>13918294</v>
          </cell>
          <cell r="B203" t="str">
            <v>'13918294',</v>
          </cell>
          <cell r="C203" t="str">
            <v>Wayrana</v>
          </cell>
          <cell r="D203" t="str">
            <v>PE Dir Sur</v>
          </cell>
          <cell r="E203" t="str">
            <v>PE Ger P3 Ayacucho</v>
          </cell>
          <cell r="F203">
            <v>6</v>
          </cell>
          <cell r="G203">
            <v>7</v>
          </cell>
          <cell r="H203">
            <v>13</v>
          </cell>
          <cell r="I203">
            <v>2</v>
          </cell>
          <cell r="J203">
            <v>2</v>
          </cell>
          <cell r="K203">
            <v>4</v>
          </cell>
        </row>
        <row r="204">
          <cell r="A204">
            <v>14443710</v>
          </cell>
          <cell r="B204" t="str">
            <v>'14443710',</v>
          </cell>
          <cell r="C204" t="str">
            <v>RESTAURANT D'FRANS</v>
          </cell>
          <cell r="D204" t="str">
            <v>PE Dir Norte</v>
          </cell>
          <cell r="E204" t="str">
            <v>PE Ger P2 Piura</v>
          </cell>
          <cell r="F204">
            <v>0</v>
          </cell>
          <cell r="G204">
            <v>11</v>
          </cell>
          <cell r="H204">
            <v>11</v>
          </cell>
          <cell r="I204">
            <v>0</v>
          </cell>
          <cell r="J204">
            <v>10</v>
          </cell>
          <cell r="K204">
            <v>10</v>
          </cell>
        </row>
        <row r="205">
          <cell r="A205">
            <v>11395825</v>
          </cell>
          <cell r="B205" t="str">
            <v>'11395825',</v>
          </cell>
          <cell r="C205" t="str">
            <v>La Casa De La Parihuela</v>
          </cell>
          <cell r="D205" t="str">
            <v>PE Dir Lima</v>
          </cell>
          <cell r="E205" t="str">
            <v>PE Ger P1 Lima Sur</v>
          </cell>
          <cell r="F205">
            <v>3</v>
          </cell>
          <cell r="G205">
            <v>10</v>
          </cell>
          <cell r="H205">
            <v>13</v>
          </cell>
          <cell r="I205">
            <v>4</v>
          </cell>
          <cell r="J205">
            <v>2</v>
          </cell>
          <cell r="K205">
            <v>6</v>
          </cell>
        </row>
        <row r="206">
          <cell r="A206">
            <v>12941864</v>
          </cell>
          <cell r="B206" t="str">
            <v>'12941864',</v>
          </cell>
          <cell r="C206" t="str">
            <v>Divino Mar</v>
          </cell>
          <cell r="D206" t="str">
            <v>PE Dir Lima</v>
          </cell>
          <cell r="E206" t="str">
            <v>PE Ger P1 Lima Oeste</v>
          </cell>
          <cell r="F206">
            <v>6</v>
          </cell>
          <cell r="G206">
            <v>4</v>
          </cell>
          <cell r="H206">
            <v>10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>
            <v>13823922</v>
          </cell>
          <cell r="B207" t="str">
            <v>'13823922',</v>
          </cell>
          <cell r="C207" t="str">
            <v>BAMBU PARK piscina natural</v>
          </cell>
          <cell r="D207" t="str">
            <v>PE Dir Centro Orient</v>
          </cell>
          <cell r="E207" t="str">
            <v>PE Ger P4 Huancay Ch</v>
          </cell>
          <cell r="F207">
            <v>0</v>
          </cell>
          <cell r="G207">
            <v>19</v>
          </cell>
          <cell r="H207">
            <v>19</v>
          </cell>
          <cell r="I207">
            <v>1</v>
          </cell>
          <cell r="J207">
            <v>12</v>
          </cell>
          <cell r="K207">
            <v>13</v>
          </cell>
        </row>
        <row r="208">
          <cell r="A208">
            <v>14416911</v>
          </cell>
          <cell r="B208" t="str">
            <v>'14416911',</v>
          </cell>
          <cell r="C208" t="str">
            <v>A punto almas sabores de autor</v>
          </cell>
          <cell r="D208" t="str">
            <v>PE Dir Centro Orient</v>
          </cell>
          <cell r="E208" t="str">
            <v>PE Ger P4 Huancay Ch</v>
          </cell>
          <cell r="F208">
            <v>4</v>
          </cell>
          <cell r="G208">
            <v>14</v>
          </cell>
          <cell r="H208">
            <v>18</v>
          </cell>
          <cell r="I208">
            <v>0</v>
          </cell>
          <cell r="J208">
            <v>19</v>
          </cell>
          <cell r="K208">
            <v>19</v>
          </cell>
        </row>
        <row r="209">
          <cell r="A209">
            <v>13865546</v>
          </cell>
          <cell r="B209" t="str">
            <v>'13865546',</v>
          </cell>
          <cell r="C209" t="str">
            <v>UCHU</v>
          </cell>
          <cell r="D209" t="str">
            <v>PE Dir Sur</v>
          </cell>
          <cell r="E209" t="str">
            <v>PE Ger P3 Cusco</v>
          </cell>
          <cell r="F209">
            <v>0</v>
          </cell>
          <cell r="G209">
            <v>17</v>
          </cell>
          <cell r="H209">
            <v>17</v>
          </cell>
          <cell r="I209">
            <v>0</v>
          </cell>
          <cell r="J209">
            <v>12</v>
          </cell>
          <cell r="K209">
            <v>12</v>
          </cell>
        </row>
        <row r="210">
          <cell r="A210">
            <v>13963649</v>
          </cell>
          <cell r="B210" t="str">
            <v>'13963649',</v>
          </cell>
          <cell r="C210" t="str">
            <v>Limón &amp; Sazón</v>
          </cell>
          <cell r="D210" t="str">
            <v>PE Dir Norte</v>
          </cell>
          <cell r="E210" t="str">
            <v>PE Ger P2 Chiclay Ca</v>
          </cell>
          <cell r="F210">
            <v>1</v>
          </cell>
          <cell r="G210">
            <v>7</v>
          </cell>
          <cell r="H210">
            <v>8</v>
          </cell>
          <cell r="I210">
            <v>0</v>
          </cell>
          <cell r="J210">
            <v>0</v>
          </cell>
          <cell r="K210">
            <v>0</v>
          </cell>
        </row>
        <row r="211">
          <cell r="A211">
            <v>10048769</v>
          </cell>
          <cell r="B211" t="str">
            <v>'10048769',</v>
          </cell>
          <cell r="C211" t="str">
            <v>RESTAURANTE EL CORDON Y LA ROSA</v>
          </cell>
          <cell r="D211" t="str">
            <v>PE Dir Sur</v>
          </cell>
          <cell r="E211" t="str">
            <v>PE Ger P3 Sur Chico</v>
          </cell>
          <cell r="F211">
            <v>0</v>
          </cell>
          <cell r="G211">
            <v>15</v>
          </cell>
          <cell r="H211">
            <v>15</v>
          </cell>
          <cell r="I211">
            <v>0</v>
          </cell>
          <cell r="J211">
            <v>12</v>
          </cell>
          <cell r="K211">
            <v>12</v>
          </cell>
        </row>
        <row r="212">
          <cell r="A212">
            <v>11454862</v>
          </cell>
          <cell r="B212" t="str">
            <v>'11454862',</v>
          </cell>
          <cell r="C212" t="str">
            <v>RESTAURANT PUB DON CARLITOS</v>
          </cell>
          <cell r="D212" t="str">
            <v>PE Dir Norte</v>
          </cell>
          <cell r="E212" t="str">
            <v>PE Ger P2 Piura</v>
          </cell>
          <cell r="F212">
            <v>7</v>
          </cell>
          <cell r="G212">
            <v>4</v>
          </cell>
          <cell r="H212">
            <v>11</v>
          </cell>
          <cell r="I212">
            <v>0</v>
          </cell>
          <cell r="J212">
            <v>6</v>
          </cell>
          <cell r="K212">
            <v>6</v>
          </cell>
        </row>
        <row r="213">
          <cell r="A213">
            <v>13486782</v>
          </cell>
          <cell r="B213" t="str">
            <v>'13486782',</v>
          </cell>
          <cell r="C213" t="str">
            <v>Marella calle tulipanes</v>
          </cell>
          <cell r="D213" t="str">
            <v>PE Dir Sur</v>
          </cell>
          <cell r="E213" t="str">
            <v>PE Ger P3 Arequipa</v>
          </cell>
          <cell r="F213">
            <v>1</v>
          </cell>
          <cell r="G213">
            <v>15</v>
          </cell>
          <cell r="H213">
            <v>16</v>
          </cell>
          <cell r="I213">
            <v>0</v>
          </cell>
          <cell r="J213">
            <v>0</v>
          </cell>
          <cell r="K213">
            <v>0</v>
          </cell>
        </row>
        <row r="214">
          <cell r="A214">
            <v>11156567</v>
          </cell>
          <cell r="B214" t="str">
            <v>'11156567',</v>
          </cell>
          <cell r="C214" t="str">
            <v>RESTAURANTE PICANTERIA LA SANTITOS</v>
          </cell>
          <cell r="D214" t="str">
            <v>PE Dir Norte</v>
          </cell>
          <cell r="E214" t="str">
            <v>PE Ger P2 Piura</v>
          </cell>
          <cell r="F214">
            <v>3</v>
          </cell>
          <cell r="G214">
            <v>13</v>
          </cell>
          <cell r="H214">
            <v>16</v>
          </cell>
          <cell r="I214">
            <v>0</v>
          </cell>
          <cell r="J214">
            <v>13</v>
          </cell>
          <cell r="K214">
            <v>13</v>
          </cell>
        </row>
        <row r="215">
          <cell r="A215">
            <v>12728731</v>
          </cell>
          <cell r="B215" t="str">
            <v>'12728731',</v>
          </cell>
          <cell r="C215" t="str">
            <v>Manos Piuranas</v>
          </cell>
          <cell r="D215" t="str">
            <v>PE Dir Norte</v>
          </cell>
          <cell r="E215" t="str">
            <v>PE Ger P2 Chiclay Ca</v>
          </cell>
          <cell r="F215">
            <v>0</v>
          </cell>
          <cell r="G215">
            <v>11</v>
          </cell>
          <cell r="H215">
            <v>11</v>
          </cell>
          <cell r="I215">
            <v>0</v>
          </cell>
          <cell r="J215">
            <v>10</v>
          </cell>
          <cell r="K215">
            <v>10</v>
          </cell>
        </row>
        <row r="216">
          <cell r="A216">
            <v>14312182</v>
          </cell>
          <cell r="B216" t="str">
            <v>'14312182',</v>
          </cell>
          <cell r="C216" t="str">
            <v>Dr Chilcano</v>
          </cell>
          <cell r="D216" t="str">
            <v>PE Dir Norte</v>
          </cell>
          <cell r="E216" t="str">
            <v>PE Ger P2 Trujillo</v>
          </cell>
          <cell r="F216">
            <v>5</v>
          </cell>
          <cell r="G216">
            <v>4</v>
          </cell>
          <cell r="H216">
            <v>9</v>
          </cell>
          <cell r="I216">
            <v>0</v>
          </cell>
          <cell r="J216">
            <v>0</v>
          </cell>
          <cell r="K216">
            <v>0</v>
          </cell>
        </row>
        <row r="217">
          <cell r="A217">
            <v>14161220</v>
          </cell>
          <cell r="B217" t="str">
            <v>'14161220',</v>
          </cell>
          <cell r="C217" t="str">
            <v>Sal y Pimienta</v>
          </cell>
          <cell r="D217" t="str">
            <v>PE Dir Sur</v>
          </cell>
          <cell r="E217" t="str">
            <v>PE Ger P3 Arequipa</v>
          </cell>
          <cell r="F217">
            <v>5</v>
          </cell>
          <cell r="G217">
            <v>6</v>
          </cell>
          <cell r="H217">
            <v>11</v>
          </cell>
          <cell r="I217">
            <v>0</v>
          </cell>
          <cell r="J217">
            <v>4</v>
          </cell>
          <cell r="K217">
            <v>4</v>
          </cell>
        </row>
        <row r="218">
          <cell r="A218">
            <v>12900431</v>
          </cell>
          <cell r="B218" t="str">
            <v>'12900431',</v>
          </cell>
          <cell r="C218" t="str">
            <v>Los Herrajes</v>
          </cell>
          <cell r="D218" t="str">
            <v>PE Dir Norte</v>
          </cell>
          <cell r="E218" t="str">
            <v>PE Ger P2 Trujillo</v>
          </cell>
          <cell r="F218">
            <v>4</v>
          </cell>
          <cell r="G218">
            <v>5</v>
          </cell>
          <cell r="H218">
            <v>9</v>
          </cell>
          <cell r="I218">
            <v>0</v>
          </cell>
          <cell r="J218">
            <v>0</v>
          </cell>
          <cell r="K218">
            <v>0</v>
          </cell>
        </row>
        <row r="219">
          <cell r="A219">
            <v>14223714</v>
          </cell>
          <cell r="B219" t="str">
            <v>'14223714',</v>
          </cell>
          <cell r="C219" t="str">
            <v>El  rincón de mis recuerdos d' Abel</v>
          </cell>
          <cell r="D219" t="str">
            <v>PE Dir Norte</v>
          </cell>
          <cell r="E219" t="str">
            <v>PE Ger P2 Chiclay Ca</v>
          </cell>
          <cell r="F219">
            <v>4</v>
          </cell>
          <cell r="G219">
            <v>15</v>
          </cell>
          <cell r="H219">
            <v>19</v>
          </cell>
          <cell r="I219">
            <v>0</v>
          </cell>
          <cell r="J219">
            <v>4</v>
          </cell>
          <cell r="K219">
            <v>4</v>
          </cell>
        </row>
        <row r="220">
          <cell r="A220">
            <v>12416806</v>
          </cell>
          <cell r="B220" t="str">
            <v>'12416806',</v>
          </cell>
          <cell r="C220" t="str">
            <v>CEVICHERIA BETO</v>
          </cell>
          <cell r="D220" t="str">
            <v>PE Dir Lima</v>
          </cell>
          <cell r="E220" t="str">
            <v>PE Ger P1 Lima Sur</v>
          </cell>
          <cell r="F220">
            <v>2</v>
          </cell>
          <cell r="G220">
            <v>9</v>
          </cell>
          <cell r="H220">
            <v>11</v>
          </cell>
          <cell r="I220">
            <v>0</v>
          </cell>
          <cell r="J220">
            <v>0</v>
          </cell>
          <cell r="K220">
            <v>0</v>
          </cell>
        </row>
        <row r="221">
          <cell r="A221">
            <v>12123210</v>
          </cell>
          <cell r="B221" t="str">
            <v>'12123210',</v>
          </cell>
          <cell r="C221" t="str">
            <v>RAZA Y SABOR</v>
          </cell>
          <cell r="D221" t="str">
            <v>PE Dir Lima</v>
          </cell>
          <cell r="E221" t="str">
            <v>PE Ger P1 Lima Norte</v>
          </cell>
          <cell r="F221">
            <v>5</v>
          </cell>
          <cell r="G221">
            <v>8</v>
          </cell>
          <cell r="H221">
            <v>13</v>
          </cell>
          <cell r="I221">
            <v>0</v>
          </cell>
          <cell r="J221">
            <v>8</v>
          </cell>
          <cell r="K221">
            <v>8</v>
          </cell>
        </row>
        <row r="222">
          <cell r="A222">
            <v>12114887</v>
          </cell>
          <cell r="B222" t="str">
            <v>'12114887',</v>
          </cell>
          <cell r="C222" t="str">
            <v>El Muelle 46</v>
          </cell>
          <cell r="D222" t="str">
            <v>PE Dir Lima</v>
          </cell>
          <cell r="E222" t="str">
            <v>PE Ger P1 Lima Este</v>
          </cell>
          <cell r="F222">
            <v>5</v>
          </cell>
          <cell r="G222">
            <v>3</v>
          </cell>
          <cell r="H222">
            <v>8</v>
          </cell>
          <cell r="I222">
            <v>0</v>
          </cell>
          <cell r="J222">
            <v>8</v>
          </cell>
          <cell r="K222">
            <v>8</v>
          </cell>
        </row>
        <row r="223">
          <cell r="A223">
            <v>14443779</v>
          </cell>
          <cell r="B223" t="str">
            <v>'14443779',</v>
          </cell>
          <cell r="C223" t="str">
            <v>Puerto Central</v>
          </cell>
          <cell r="D223" t="str">
            <v>PE Dir Lima</v>
          </cell>
          <cell r="E223" t="str">
            <v>PE Ger P1 Lima Norte</v>
          </cell>
          <cell r="F223">
            <v>4</v>
          </cell>
          <cell r="G223">
            <v>5</v>
          </cell>
          <cell r="H223">
            <v>9</v>
          </cell>
          <cell r="I223">
            <v>0</v>
          </cell>
          <cell r="J223">
            <v>0</v>
          </cell>
          <cell r="K223">
            <v>0</v>
          </cell>
        </row>
        <row r="224">
          <cell r="A224">
            <v>10065537</v>
          </cell>
          <cell r="B224" t="str">
            <v>'10065537',</v>
          </cell>
          <cell r="C224" t="str">
            <v>Don Rulo</v>
          </cell>
          <cell r="D224" t="str">
            <v>PE Dir Norte</v>
          </cell>
          <cell r="E224" t="str">
            <v>PE Ger P2 Trujillo</v>
          </cell>
          <cell r="F224">
            <v>4</v>
          </cell>
          <cell r="G224">
            <v>23</v>
          </cell>
          <cell r="H224">
            <v>27</v>
          </cell>
          <cell r="I224">
            <v>0</v>
          </cell>
          <cell r="J224">
            <v>0</v>
          </cell>
          <cell r="K224">
            <v>0</v>
          </cell>
        </row>
        <row r="225">
          <cell r="A225">
            <v>11204110</v>
          </cell>
          <cell r="B225" t="str">
            <v>'11204110',</v>
          </cell>
          <cell r="C225" t="str">
            <v>El BONITO SOY YO</v>
          </cell>
          <cell r="D225" t="str">
            <v>PE Dir Lima</v>
          </cell>
          <cell r="E225" t="str">
            <v>PE Ger P1 Lima Norte</v>
          </cell>
          <cell r="F225">
            <v>3</v>
          </cell>
          <cell r="G225">
            <v>10</v>
          </cell>
          <cell r="H225">
            <v>13</v>
          </cell>
          <cell r="I225">
            <v>0</v>
          </cell>
          <cell r="J225">
            <v>1</v>
          </cell>
          <cell r="K225">
            <v>1</v>
          </cell>
        </row>
        <row r="226">
          <cell r="A226">
            <v>12534912</v>
          </cell>
          <cell r="B226" t="str">
            <v>'12534912',</v>
          </cell>
          <cell r="C226" t="str">
            <v>El Rinconcito de kiara</v>
          </cell>
          <cell r="D226" t="str">
            <v>PE Dir Lima</v>
          </cell>
          <cell r="E226" t="str">
            <v>PE Ger P1 Lima Oeste</v>
          </cell>
          <cell r="F226">
            <v>5</v>
          </cell>
          <cell r="G226">
            <v>4</v>
          </cell>
          <cell r="H226">
            <v>9</v>
          </cell>
          <cell r="I226">
            <v>0</v>
          </cell>
          <cell r="J226">
            <v>4</v>
          </cell>
          <cell r="K226">
            <v>4</v>
          </cell>
        </row>
        <row r="227">
          <cell r="A227">
            <v>14317177</v>
          </cell>
          <cell r="B227" t="str">
            <v>'14317177',</v>
          </cell>
          <cell r="C227" t="str">
            <v>LA CHOZA NAUTICA</v>
          </cell>
          <cell r="D227" t="str">
            <v>PE Dir Sur</v>
          </cell>
          <cell r="E227" t="str">
            <v>PE Ger P3 Sur Chico</v>
          </cell>
          <cell r="F227">
            <v>0</v>
          </cell>
          <cell r="G227">
            <v>13</v>
          </cell>
          <cell r="H227">
            <v>13</v>
          </cell>
          <cell r="I227">
            <v>0</v>
          </cell>
          <cell r="J227">
            <v>9</v>
          </cell>
          <cell r="K227">
            <v>9</v>
          </cell>
        </row>
        <row r="228">
          <cell r="A228">
            <v>14386725</v>
          </cell>
          <cell r="B228" t="str">
            <v>'14386725',</v>
          </cell>
          <cell r="C228" t="str">
            <v>Corazón Del Mar</v>
          </cell>
          <cell r="D228" t="str">
            <v>PE Dir Sur</v>
          </cell>
          <cell r="E228" t="str">
            <v>PE Ger P3 Puno</v>
          </cell>
          <cell r="F228">
            <v>4</v>
          </cell>
          <cell r="G228">
            <v>6</v>
          </cell>
          <cell r="H228">
            <v>10</v>
          </cell>
          <cell r="I228">
            <v>4</v>
          </cell>
          <cell r="J228">
            <v>5</v>
          </cell>
          <cell r="K228">
            <v>9</v>
          </cell>
        </row>
        <row r="229">
          <cell r="A229">
            <v>14389639</v>
          </cell>
          <cell r="B229" t="str">
            <v>'14389639',</v>
          </cell>
          <cell r="C229" t="str">
            <v>Restaurante Cevicheria Leon del Norte</v>
          </cell>
          <cell r="D229" t="str">
            <v>PE Dir Lima</v>
          </cell>
          <cell r="E229" t="str">
            <v>PE Ger P1 Lima Oeste</v>
          </cell>
          <cell r="F229">
            <v>1</v>
          </cell>
          <cell r="G229">
            <v>7</v>
          </cell>
          <cell r="H229">
            <v>8</v>
          </cell>
          <cell r="I229">
            <v>0</v>
          </cell>
          <cell r="J229">
            <v>0</v>
          </cell>
          <cell r="K229">
            <v>0</v>
          </cell>
        </row>
        <row r="230">
          <cell r="A230">
            <v>12706036</v>
          </cell>
          <cell r="B230" t="str">
            <v>'12706036',</v>
          </cell>
          <cell r="C230" t="str">
            <v>María Isabel</v>
          </cell>
          <cell r="D230" t="str">
            <v>PE Dir Sur</v>
          </cell>
          <cell r="E230" t="str">
            <v>PE Ger P3 Tacna</v>
          </cell>
          <cell r="F230">
            <v>0</v>
          </cell>
          <cell r="G230">
            <v>13</v>
          </cell>
          <cell r="H230">
            <v>13</v>
          </cell>
          <cell r="I230">
            <v>0</v>
          </cell>
          <cell r="J230">
            <v>0</v>
          </cell>
          <cell r="K230">
            <v>0</v>
          </cell>
        </row>
        <row r="231">
          <cell r="A231">
            <v>12768584</v>
          </cell>
          <cell r="B231" t="str">
            <v>'12768584',</v>
          </cell>
          <cell r="C231" t="str">
            <v>Mr Will Campestre</v>
          </cell>
          <cell r="D231" t="str">
            <v>PE Dir Norte</v>
          </cell>
          <cell r="E231" t="str">
            <v>PE Ger P2 Chiclay Ca</v>
          </cell>
          <cell r="F231">
            <v>2</v>
          </cell>
          <cell r="G231">
            <v>6</v>
          </cell>
          <cell r="H231">
            <v>8</v>
          </cell>
          <cell r="I231">
            <v>0</v>
          </cell>
          <cell r="J231">
            <v>4</v>
          </cell>
          <cell r="K231">
            <v>4</v>
          </cell>
        </row>
        <row r="232">
          <cell r="A232">
            <v>13682316</v>
          </cell>
          <cell r="B232" t="str">
            <v>'13682316',</v>
          </cell>
          <cell r="C232" t="str">
            <v>El Velero Sur</v>
          </cell>
          <cell r="D232" t="str">
            <v>PE Dir Lima</v>
          </cell>
          <cell r="E232" t="str">
            <v>PE Ger P1 Lima Sur</v>
          </cell>
          <cell r="F232">
            <v>1</v>
          </cell>
          <cell r="G232">
            <v>16</v>
          </cell>
          <cell r="H232">
            <v>17</v>
          </cell>
          <cell r="I232">
            <v>0</v>
          </cell>
          <cell r="J232">
            <v>12</v>
          </cell>
          <cell r="K232">
            <v>12</v>
          </cell>
        </row>
        <row r="233">
          <cell r="A233">
            <v>14450861</v>
          </cell>
          <cell r="B233" t="str">
            <v>'14450861',</v>
          </cell>
          <cell r="C233" t="str">
            <v>Yunza restobar</v>
          </cell>
          <cell r="D233" t="str">
            <v>PE Dir Lima</v>
          </cell>
          <cell r="E233" t="str">
            <v>PE Ger P1 Lima Sur</v>
          </cell>
          <cell r="F233">
            <v>4</v>
          </cell>
          <cell r="G233">
            <v>12</v>
          </cell>
          <cell r="H233">
            <v>16</v>
          </cell>
          <cell r="I233">
            <v>4</v>
          </cell>
          <cell r="J233">
            <v>7</v>
          </cell>
          <cell r="K233">
            <v>11</v>
          </cell>
        </row>
        <row r="234">
          <cell r="A234">
            <v>14147701</v>
          </cell>
          <cell r="B234" t="str">
            <v>'14147701',</v>
          </cell>
          <cell r="C234" t="str">
            <v>MARY MAR</v>
          </cell>
          <cell r="D234" t="str">
            <v>PE Dir Lima</v>
          </cell>
          <cell r="E234" t="str">
            <v>PE Ger P1 Lima Centr</v>
          </cell>
          <cell r="F234">
            <v>0</v>
          </cell>
          <cell r="G234">
            <v>19</v>
          </cell>
          <cell r="H234">
            <v>19</v>
          </cell>
          <cell r="I234">
            <v>0</v>
          </cell>
          <cell r="J234">
            <v>9</v>
          </cell>
          <cell r="K234">
            <v>9</v>
          </cell>
        </row>
        <row r="235">
          <cell r="A235">
            <v>10087122</v>
          </cell>
          <cell r="B235" t="str">
            <v>'10087122',</v>
          </cell>
          <cell r="C235" t="str">
            <v>Los girasoles</v>
          </cell>
          <cell r="D235" t="str">
            <v>PE Dir Centro Orient</v>
          </cell>
          <cell r="E235" t="str">
            <v>PE Ger P4 Huancay Ch</v>
          </cell>
          <cell r="F235">
            <v>6</v>
          </cell>
          <cell r="G235">
            <v>11</v>
          </cell>
          <cell r="H235">
            <v>17</v>
          </cell>
          <cell r="I235">
            <v>0</v>
          </cell>
          <cell r="J235">
            <v>10</v>
          </cell>
          <cell r="K235">
            <v>10</v>
          </cell>
        </row>
        <row r="236">
          <cell r="A236">
            <v>14283343</v>
          </cell>
          <cell r="B236" t="str">
            <v>'14283343',</v>
          </cell>
          <cell r="C236" t="str">
            <v>Restaurante CHAVIN</v>
          </cell>
          <cell r="D236" t="str">
            <v>PE Dir Lima</v>
          </cell>
          <cell r="E236" t="str">
            <v>PE Ger P1 Lima Sur</v>
          </cell>
          <cell r="F236">
            <v>3</v>
          </cell>
          <cell r="G236">
            <v>13</v>
          </cell>
          <cell r="H236">
            <v>16</v>
          </cell>
          <cell r="I236">
            <v>0</v>
          </cell>
          <cell r="J236">
            <v>4</v>
          </cell>
          <cell r="K236">
            <v>4</v>
          </cell>
        </row>
        <row r="237">
          <cell r="A237">
            <v>13960119</v>
          </cell>
          <cell r="B237" t="str">
            <v>'13960119',</v>
          </cell>
          <cell r="C237" t="str">
            <v>Me Lo Merezco</v>
          </cell>
          <cell r="D237" t="str">
            <v>PE Dir Sur</v>
          </cell>
          <cell r="E237" t="str">
            <v>PE Ger P3 Sur Chico</v>
          </cell>
          <cell r="F237">
            <v>0</v>
          </cell>
          <cell r="G237">
            <v>12</v>
          </cell>
          <cell r="H237">
            <v>12</v>
          </cell>
          <cell r="I237">
            <v>0</v>
          </cell>
          <cell r="J237">
            <v>6</v>
          </cell>
          <cell r="K237">
            <v>6</v>
          </cell>
        </row>
        <row r="238">
          <cell r="A238">
            <v>14490851</v>
          </cell>
          <cell r="B238" t="str">
            <v>'14490851',</v>
          </cell>
          <cell r="C238" t="str">
            <v>No canjeo aún</v>
          </cell>
          <cell r="D238" t="str">
            <v>PE Dir Sur</v>
          </cell>
          <cell r="E238" t="str">
            <v>PE Ger P3 Arequipa</v>
          </cell>
          <cell r="F238">
            <v>0</v>
          </cell>
          <cell r="G238">
            <v>7</v>
          </cell>
          <cell r="H238">
            <v>7</v>
          </cell>
          <cell r="I238">
            <v>0</v>
          </cell>
          <cell r="J238">
            <v>0</v>
          </cell>
          <cell r="K238">
            <v>0</v>
          </cell>
        </row>
        <row r="239">
          <cell r="A239">
            <v>14231140</v>
          </cell>
          <cell r="B239" t="str">
            <v>'14231140',</v>
          </cell>
          <cell r="C239" t="str">
            <v>Puerta Mar Cerro Colorado</v>
          </cell>
          <cell r="D239" t="str">
            <v>PE Dir Sur</v>
          </cell>
          <cell r="E239" t="str">
            <v>PE Ger P3 Arequipa</v>
          </cell>
          <cell r="F239">
            <v>0</v>
          </cell>
          <cell r="G239">
            <v>15</v>
          </cell>
          <cell r="H239">
            <v>15</v>
          </cell>
          <cell r="I239">
            <v>0</v>
          </cell>
          <cell r="J239">
            <v>8</v>
          </cell>
          <cell r="K239">
            <v>8</v>
          </cell>
        </row>
        <row r="240">
          <cell r="A240">
            <v>10211377</v>
          </cell>
          <cell r="B240" t="str">
            <v>'10211377',</v>
          </cell>
          <cell r="C240" t="str">
            <v>EL REY MARINO</v>
          </cell>
          <cell r="D240" t="str">
            <v>PE Dir Lima</v>
          </cell>
          <cell r="E240" t="str">
            <v>PE Ger P1 Lima Este</v>
          </cell>
          <cell r="F240">
            <v>5</v>
          </cell>
          <cell r="G240">
            <v>3</v>
          </cell>
          <cell r="H240">
            <v>8</v>
          </cell>
          <cell r="I240">
            <v>0</v>
          </cell>
          <cell r="J240">
            <v>4</v>
          </cell>
          <cell r="K240">
            <v>4</v>
          </cell>
        </row>
        <row r="241">
          <cell r="A241">
            <v>13299170</v>
          </cell>
          <cell r="B241" t="str">
            <v>'13299170',</v>
          </cell>
          <cell r="C241" t="str">
            <v>Mar De Limón</v>
          </cell>
          <cell r="D241" t="str">
            <v>PE Dir Sur</v>
          </cell>
          <cell r="E241" t="str">
            <v>PE Ger P3 Cusco</v>
          </cell>
          <cell r="F241">
            <v>1</v>
          </cell>
          <cell r="G241">
            <v>13</v>
          </cell>
          <cell r="H241">
            <v>14</v>
          </cell>
          <cell r="I241">
            <v>0</v>
          </cell>
          <cell r="J241">
            <v>13</v>
          </cell>
          <cell r="K241">
            <v>13</v>
          </cell>
        </row>
        <row r="242">
          <cell r="A242">
            <v>14206248</v>
          </cell>
          <cell r="B242" t="str">
            <v>'14206248',</v>
          </cell>
          <cell r="C242" t="str">
            <v>El Ancla lobitos</v>
          </cell>
          <cell r="D242" t="str">
            <v>PE Dir Norte</v>
          </cell>
          <cell r="E242" t="str">
            <v>PE Ger P2 Tumbes T</v>
          </cell>
          <cell r="F242">
            <v>4</v>
          </cell>
          <cell r="G242">
            <v>5</v>
          </cell>
          <cell r="H242">
            <v>9</v>
          </cell>
          <cell r="I242">
            <v>0</v>
          </cell>
          <cell r="J242">
            <v>2</v>
          </cell>
          <cell r="K242">
            <v>2</v>
          </cell>
        </row>
        <row r="243">
          <cell r="A243">
            <v>13829976</v>
          </cell>
          <cell r="B243" t="str">
            <v>'13829976',</v>
          </cell>
          <cell r="C243" t="str">
            <v>Restaurante El PAIKO cajamarquino</v>
          </cell>
          <cell r="D243" t="str">
            <v>PE Dir Lima</v>
          </cell>
          <cell r="E243" t="str">
            <v>PE Ger P1 Lima Oeste</v>
          </cell>
          <cell r="F243">
            <v>0</v>
          </cell>
          <cell r="G243">
            <v>16</v>
          </cell>
          <cell r="H243">
            <v>16</v>
          </cell>
          <cell r="I243">
            <v>0</v>
          </cell>
          <cell r="J243">
            <v>18</v>
          </cell>
          <cell r="K243">
            <v>18</v>
          </cell>
        </row>
        <row r="244">
          <cell r="A244">
            <v>10082119</v>
          </cell>
          <cell r="B244" t="str">
            <v>'10082119',</v>
          </cell>
          <cell r="C244" t="str">
            <v>El rincón del cuy y la trucha</v>
          </cell>
          <cell r="D244" t="str">
            <v>PE Dir Sur</v>
          </cell>
          <cell r="E244" t="str">
            <v>PE Ger P3 Ayacucho</v>
          </cell>
          <cell r="F244">
            <v>0</v>
          </cell>
          <cell r="G244">
            <v>7</v>
          </cell>
          <cell r="H244">
            <v>7</v>
          </cell>
          <cell r="I244">
            <v>0</v>
          </cell>
          <cell r="J244">
            <v>5</v>
          </cell>
          <cell r="K244">
            <v>5</v>
          </cell>
        </row>
        <row r="245">
          <cell r="A245">
            <v>12574887</v>
          </cell>
          <cell r="B245" t="str">
            <v>'12574887',</v>
          </cell>
          <cell r="C245" t="str">
            <v>Pescaderos</v>
          </cell>
          <cell r="D245" t="str">
            <v>PE Dir Lima</v>
          </cell>
          <cell r="E245" t="str">
            <v>PE Ger P1 Lima Sur</v>
          </cell>
          <cell r="F245">
            <v>1</v>
          </cell>
          <cell r="G245">
            <v>7</v>
          </cell>
          <cell r="H245">
            <v>8</v>
          </cell>
          <cell r="I245">
            <v>0</v>
          </cell>
          <cell r="J245">
            <v>9</v>
          </cell>
          <cell r="K245">
            <v>9</v>
          </cell>
        </row>
        <row r="246">
          <cell r="A246">
            <v>12801679</v>
          </cell>
          <cell r="B246" t="str">
            <v>'12801679',</v>
          </cell>
          <cell r="C246" t="str">
            <v>SABORES PERUANOS</v>
          </cell>
          <cell r="D246" t="str">
            <v>PE Dir Lima</v>
          </cell>
          <cell r="E246" t="str">
            <v>PE Ger P1 Lima Sur</v>
          </cell>
          <cell r="F246">
            <v>2</v>
          </cell>
          <cell r="G246">
            <v>6</v>
          </cell>
          <cell r="H246">
            <v>8</v>
          </cell>
          <cell r="I246">
            <v>0</v>
          </cell>
          <cell r="J246">
            <v>5</v>
          </cell>
          <cell r="K246">
            <v>5</v>
          </cell>
        </row>
        <row r="247">
          <cell r="A247">
            <v>12268350</v>
          </cell>
          <cell r="B247" t="str">
            <v>'12268350',</v>
          </cell>
          <cell r="C247" t="str">
            <v>EL TAO MANCORA</v>
          </cell>
          <cell r="D247" t="str">
            <v>PE Dir Norte</v>
          </cell>
          <cell r="E247" t="str">
            <v>PE Ger P2 Tumbes T</v>
          </cell>
          <cell r="F247">
            <v>3</v>
          </cell>
          <cell r="G247">
            <v>4</v>
          </cell>
          <cell r="H247">
            <v>7</v>
          </cell>
          <cell r="I247">
            <v>0</v>
          </cell>
          <cell r="J247">
            <v>0</v>
          </cell>
          <cell r="K247">
            <v>0</v>
          </cell>
        </row>
        <row r="248">
          <cell r="A248">
            <v>10025123</v>
          </cell>
          <cell r="B248" t="str">
            <v>'10025123',</v>
          </cell>
          <cell r="C248" t="str">
            <v>Parrilla el chavo del 8</v>
          </cell>
          <cell r="D248" t="str">
            <v>PE Dir Norte</v>
          </cell>
          <cell r="E248" t="str">
            <v>PE Ger P2 Piura</v>
          </cell>
          <cell r="F248">
            <v>1</v>
          </cell>
          <cell r="G248">
            <v>17</v>
          </cell>
          <cell r="H248">
            <v>18</v>
          </cell>
          <cell r="I248">
            <v>0</v>
          </cell>
          <cell r="J248">
            <v>1</v>
          </cell>
          <cell r="K248">
            <v>1</v>
          </cell>
        </row>
        <row r="249">
          <cell r="A249">
            <v>12726585</v>
          </cell>
          <cell r="B249" t="str">
            <v>'12726585',</v>
          </cell>
          <cell r="C249" t="str">
            <v>Qamka Cocina Fusion</v>
          </cell>
          <cell r="D249" t="str">
            <v>PE Dir Sur</v>
          </cell>
          <cell r="E249" t="str">
            <v>PE Ger P3 Ayacucho</v>
          </cell>
          <cell r="F249">
            <v>5</v>
          </cell>
          <cell r="G249">
            <v>4</v>
          </cell>
          <cell r="H249">
            <v>9</v>
          </cell>
          <cell r="I249">
            <v>0</v>
          </cell>
          <cell r="J249">
            <v>0</v>
          </cell>
          <cell r="K249">
            <v>0</v>
          </cell>
        </row>
        <row r="250">
          <cell r="A250">
            <v>13782592</v>
          </cell>
          <cell r="B250" t="str">
            <v>'13782592',</v>
          </cell>
          <cell r="C250" t="str">
            <v>Basilica</v>
          </cell>
          <cell r="D250" t="str">
            <v>PE Dir Sur</v>
          </cell>
          <cell r="E250" t="str">
            <v>PE Ger P3 Puno</v>
          </cell>
          <cell r="F250">
            <v>3</v>
          </cell>
          <cell r="G250">
            <v>6</v>
          </cell>
          <cell r="H250">
            <v>9</v>
          </cell>
          <cell r="I250">
            <v>0</v>
          </cell>
          <cell r="J250">
            <v>4</v>
          </cell>
          <cell r="K250">
            <v>4</v>
          </cell>
        </row>
        <row r="251">
          <cell r="A251">
            <v>12527186</v>
          </cell>
          <cell r="B251" t="str">
            <v>'12527186',</v>
          </cell>
          <cell r="C251" t="str">
            <v>Mesón del chalan</v>
          </cell>
          <cell r="D251" t="str">
            <v>PE Dir Lima</v>
          </cell>
          <cell r="E251" t="str">
            <v>PE Ger P1 Lima Sur</v>
          </cell>
          <cell r="F251">
            <v>4</v>
          </cell>
          <cell r="G251">
            <v>4</v>
          </cell>
          <cell r="H251">
            <v>8</v>
          </cell>
          <cell r="I251">
            <v>0</v>
          </cell>
          <cell r="J251">
            <v>6</v>
          </cell>
          <cell r="K251">
            <v>6</v>
          </cell>
        </row>
        <row r="252">
          <cell r="A252">
            <v>14404208</v>
          </cell>
          <cell r="B252" t="str">
            <v>'14404208',</v>
          </cell>
          <cell r="C252" t="str">
            <v>CLUB CAMPESTRE AZAPAMPINO</v>
          </cell>
          <cell r="D252" t="str">
            <v>PE Dir Lima</v>
          </cell>
          <cell r="E252" t="str">
            <v>PE Ger P1 Lima Este</v>
          </cell>
          <cell r="F252">
            <v>3</v>
          </cell>
          <cell r="G252">
            <v>6</v>
          </cell>
          <cell r="H252">
            <v>9</v>
          </cell>
          <cell r="I252">
            <v>0</v>
          </cell>
          <cell r="J252">
            <v>12</v>
          </cell>
          <cell r="K252">
            <v>12</v>
          </cell>
        </row>
        <row r="253">
          <cell r="A253">
            <v>14462421</v>
          </cell>
          <cell r="B253" t="str">
            <v>'14462421',</v>
          </cell>
          <cell r="C253" t="str">
            <v>FONDO MARINO CHOSICA</v>
          </cell>
          <cell r="D253" t="str">
            <v>PE Dir Lima</v>
          </cell>
          <cell r="E253" t="str">
            <v>PE Ger P1 Lima Este</v>
          </cell>
          <cell r="F253">
            <v>3</v>
          </cell>
          <cell r="G253">
            <v>7</v>
          </cell>
          <cell r="H253">
            <v>10</v>
          </cell>
          <cell r="I253">
            <v>0</v>
          </cell>
          <cell r="J253">
            <v>7</v>
          </cell>
          <cell r="K253">
            <v>7</v>
          </cell>
        </row>
        <row r="254">
          <cell r="A254">
            <v>14187041</v>
          </cell>
          <cell r="B254" t="str">
            <v>'14187041',</v>
          </cell>
          <cell r="C254" t="str">
            <v>Chicharroneria oscar</v>
          </cell>
          <cell r="D254" t="str">
            <v>PE Dir Sur</v>
          </cell>
          <cell r="E254" t="str">
            <v>PE Ger P3 Arequipa</v>
          </cell>
          <cell r="F254">
            <v>4</v>
          </cell>
          <cell r="G254">
            <v>7</v>
          </cell>
          <cell r="H254">
            <v>11</v>
          </cell>
          <cell r="I254">
            <v>0</v>
          </cell>
          <cell r="J254">
            <v>10</v>
          </cell>
          <cell r="K254">
            <v>10</v>
          </cell>
        </row>
        <row r="255">
          <cell r="A255">
            <v>14043998</v>
          </cell>
          <cell r="B255" t="str">
            <v>'14043998',</v>
          </cell>
          <cell r="C255" t="str">
            <v>REST. PATRIA</v>
          </cell>
          <cell r="D255" t="str">
            <v>PE Dir Sur</v>
          </cell>
          <cell r="E255" t="str">
            <v>PE Ger P3 Sur Chico</v>
          </cell>
          <cell r="F255">
            <v>0</v>
          </cell>
          <cell r="G255">
            <v>10</v>
          </cell>
          <cell r="H255">
            <v>10</v>
          </cell>
          <cell r="I255">
            <v>0</v>
          </cell>
          <cell r="J255">
            <v>4</v>
          </cell>
          <cell r="K255">
            <v>4</v>
          </cell>
        </row>
        <row r="256">
          <cell r="A256">
            <v>10478552</v>
          </cell>
          <cell r="B256" t="str">
            <v>'10478552',</v>
          </cell>
          <cell r="C256" t="str">
            <v>Sede principal</v>
          </cell>
          <cell r="D256" t="str">
            <v>PE Dir Lima</v>
          </cell>
          <cell r="E256" t="str">
            <v>PE Ger P1 Lima Oeste</v>
          </cell>
          <cell r="F256">
            <v>5</v>
          </cell>
          <cell r="G256">
            <v>3</v>
          </cell>
          <cell r="H256">
            <v>8</v>
          </cell>
          <cell r="I256">
            <v>0</v>
          </cell>
          <cell r="J256">
            <v>4</v>
          </cell>
          <cell r="K256">
            <v>4</v>
          </cell>
        </row>
        <row r="257">
          <cell r="A257">
            <v>12861362</v>
          </cell>
          <cell r="B257" t="str">
            <v>'12861362',</v>
          </cell>
          <cell r="C257" t="str">
            <v>Restaurant Don Limo</v>
          </cell>
          <cell r="D257" t="str">
            <v>PE Dir Norte</v>
          </cell>
          <cell r="E257" t="str">
            <v>PE Ger P2 Piura</v>
          </cell>
          <cell r="F257">
            <v>6</v>
          </cell>
          <cell r="G257">
            <v>3</v>
          </cell>
          <cell r="H257">
            <v>9</v>
          </cell>
          <cell r="I257">
            <v>0</v>
          </cell>
          <cell r="J257">
            <v>4</v>
          </cell>
          <cell r="K257">
            <v>4</v>
          </cell>
        </row>
        <row r="258">
          <cell r="A258">
            <v>13966168</v>
          </cell>
          <cell r="B258" t="str">
            <v>'13966168',</v>
          </cell>
          <cell r="C258" t="str">
            <v>Casa Grill</v>
          </cell>
          <cell r="D258" t="str">
            <v>PE Dir Sur</v>
          </cell>
          <cell r="E258" t="str">
            <v>PE Ger P3 Puno</v>
          </cell>
          <cell r="F258">
            <v>0</v>
          </cell>
          <cell r="G258">
            <v>8</v>
          </cell>
          <cell r="H258">
            <v>8</v>
          </cell>
          <cell r="I258">
            <v>0</v>
          </cell>
          <cell r="J258">
            <v>7</v>
          </cell>
          <cell r="K258">
            <v>7</v>
          </cell>
        </row>
        <row r="259">
          <cell r="A259">
            <v>12768518</v>
          </cell>
          <cell r="B259" t="str">
            <v>'12768518',</v>
          </cell>
          <cell r="C259" t="str">
            <v>CEVICHERIA D' MAYU</v>
          </cell>
          <cell r="D259" t="str">
            <v>PE Dir Sur</v>
          </cell>
          <cell r="E259" t="str">
            <v>PE Ger P3 Sur Chico</v>
          </cell>
          <cell r="F259">
            <v>4</v>
          </cell>
          <cell r="G259">
            <v>8</v>
          </cell>
          <cell r="H259">
            <v>12</v>
          </cell>
          <cell r="I259">
            <v>0</v>
          </cell>
          <cell r="J259">
            <v>0</v>
          </cell>
          <cell r="K259">
            <v>0</v>
          </cell>
        </row>
        <row r="260">
          <cell r="A260">
            <v>12819176</v>
          </cell>
          <cell r="B260" t="str">
            <v>'12819176',</v>
          </cell>
          <cell r="C260" t="str">
            <v>La crianza de Induaran</v>
          </cell>
          <cell r="D260" t="str">
            <v>PE Dir Lima</v>
          </cell>
          <cell r="E260" t="str">
            <v>PE Ger P1 Lima Norte</v>
          </cell>
          <cell r="F260">
            <v>0</v>
          </cell>
          <cell r="G260">
            <v>9</v>
          </cell>
          <cell r="H260">
            <v>9</v>
          </cell>
          <cell r="I260">
            <v>0</v>
          </cell>
          <cell r="J260">
            <v>1</v>
          </cell>
          <cell r="K260">
            <v>1</v>
          </cell>
        </row>
        <row r="261">
          <cell r="A261">
            <v>11710537</v>
          </cell>
          <cell r="B261" t="str">
            <v>'11710537',</v>
          </cell>
          <cell r="C261" t="str">
            <v>CEVICHERIA NORMAR</v>
          </cell>
          <cell r="D261" t="str">
            <v>PE Dir Lima</v>
          </cell>
          <cell r="E261" t="str">
            <v>PE Ger P1 Lima Oeste</v>
          </cell>
          <cell r="F261">
            <v>2</v>
          </cell>
          <cell r="G261">
            <v>9</v>
          </cell>
          <cell r="H261">
            <v>11</v>
          </cell>
          <cell r="I261">
            <v>0</v>
          </cell>
          <cell r="J261">
            <v>11</v>
          </cell>
          <cell r="K261">
            <v>11</v>
          </cell>
        </row>
        <row r="262">
          <cell r="A262">
            <v>13778606</v>
          </cell>
          <cell r="B262" t="str">
            <v>'13778606',</v>
          </cell>
          <cell r="C262" t="str">
            <v>Mis costillitas</v>
          </cell>
          <cell r="D262" t="str">
            <v>PE Dir Sur</v>
          </cell>
          <cell r="E262" t="str">
            <v>PE Ger P3 Arequipa</v>
          </cell>
          <cell r="F262">
            <v>0</v>
          </cell>
          <cell r="G262">
            <v>11</v>
          </cell>
          <cell r="H262">
            <v>11</v>
          </cell>
          <cell r="I262">
            <v>0</v>
          </cell>
          <cell r="J262">
            <v>4</v>
          </cell>
          <cell r="K262">
            <v>4</v>
          </cell>
        </row>
        <row r="263">
          <cell r="A263">
            <v>14313700</v>
          </cell>
          <cell r="B263" t="str">
            <v>'14313700',</v>
          </cell>
          <cell r="C263" t="str">
            <v>Olla Internacional</v>
          </cell>
          <cell r="D263" t="str">
            <v>PE Dir Lima</v>
          </cell>
          <cell r="E263" t="str">
            <v>PE Ger P1 Lima Norte</v>
          </cell>
          <cell r="F263">
            <v>0</v>
          </cell>
          <cell r="G263">
            <v>8</v>
          </cell>
          <cell r="H263">
            <v>8</v>
          </cell>
          <cell r="I263">
            <v>0</v>
          </cell>
          <cell r="J263">
            <v>7</v>
          </cell>
          <cell r="K263">
            <v>7</v>
          </cell>
        </row>
        <row r="264">
          <cell r="A264">
            <v>13995962</v>
          </cell>
          <cell r="B264" t="str">
            <v>'13995962',</v>
          </cell>
          <cell r="C264" t="str">
            <v>Tres Regiones</v>
          </cell>
          <cell r="D264" t="str">
            <v>PE Dir Lima</v>
          </cell>
          <cell r="E264" t="str">
            <v>PE Ger P1 Lima Norte</v>
          </cell>
          <cell r="F264">
            <v>4</v>
          </cell>
          <cell r="G264">
            <v>7</v>
          </cell>
          <cell r="H264">
            <v>11</v>
          </cell>
          <cell r="I264">
            <v>0</v>
          </cell>
          <cell r="J264">
            <v>0</v>
          </cell>
          <cell r="K264">
            <v>0</v>
          </cell>
        </row>
        <row r="265">
          <cell r="A265">
            <v>13049124</v>
          </cell>
          <cell r="B265" t="str">
            <v>'13049124',</v>
          </cell>
          <cell r="C265" t="str">
            <v>Oh Mi Tumbes</v>
          </cell>
          <cell r="D265" t="str">
            <v>PE Dir Lima</v>
          </cell>
          <cell r="E265" t="str">
            <v>PE Ger P1 Norte Chi</v>
          </cell>
          <cell r="F265">
            <v>3</v>
          </cell>
          <cell r="G265">
            <v>9</v>
          </cell>
          <cell r="H265">
            <v>12</v>
          </cell>
          <cell r="I265">
            <v>0</v>
          </cell>
          <cell r="J265">
            <v>7</v>
          </cell>
          <cell r="K265">
            <v>7</v>
          </cell>
        </row>
        <row r="266">
          <cell r="A266">
            <v>10970300</v>
          </cell>
          <cell r="B266" t="str">
            <v>'10970300',</v>
          </cell>
          <cell r="C266" t="str">
            <v>Picanteria LA SHILA</v>
          </cell>
          <cell r="D266" t="str">
            <v>PE Dir Norte</v>
          </cell>
          <cell r="E266" t="str">
            <v>PE Ger P2 Piura</v>
          </cell>
          <cell r="F266">
            <v>2</v>
          </cell>
          <cell r="G266">
            <v>9</v>
          </cell>
          <cell r="H266">
            <v>11</v>
          </cell>
          <cell r="I266">
            <v>0</v>
          </cell>
          <cell r="J266">
            <v>0</v>
          </cell>
          <cell r="K266">
            <v>0</v>
          </cell>
        </row>
        <row r="267">
          <cell r="A267">
            <v>14370929</v>
          </cell>
          <cell r="B267" t="str">
            <v>'14370929',</v>
          </cell>
          <cell r="C267" t="str">
            <v>Mar de limón La rapa</v>
          </cell>
          <cell r="D267" t="str">
            <v>PE Dir Sur</v>
          </cell>
          <cell r="E267" t="str">
            <v>PE Ger P3 Cusco</v>
          </cell>
          <cell r="F267">
            <v>2</v>
          </cell>
          <cell r="G267">
            <v>7</v>
          </cell>
          <cell r="H267">
            <v>9</v>
          </cell>
          <cell r="I267">
            <v>0</v>
          </cell>
          <cell r="J267">
            <v>8</v>
          </cell>
          <cell r="K267">
            <v>8</v>
          </cell>
        </row>
        <row r="268">
          <cell r="A268">
            <v>14132918</v>
          </cell>
          <cell r="B268" t="str">
            <v>'14132918',</v>
          </cell>
          <cell r="C268" t="str">
            <v>CANTA Y NO LLORES</v>
          </cell>
          <cell r="D268" t="str">
            <v>PE Dir Sur</v>
          </cell>
          <cell r="E268" t="str">
            <v>PE Ger P3 Sur Chico</v>
          </cell>
          <cell r="F268">
            <v>1</v>
          </cell>
          <cell r="G268">
            <v>15</v>
          </cell>
          <cell r="H268">
            <v>16</v>
          </cell>
          <cell r="I268">
            <v>0</v>
          </cell>
          <cell r="J268">
            <v>12</v>
          </cell>
          <cell r="K268">
            <v>12</v>
          </cell>
        </row>
        <row r="269">
          <cell r="A269">
            <v>10880516</v>
          </cell>
          <cell r="B269" t="str">
            <v>'10880516',</v>
          </cell>
          <cell r="C269" t="str">
            <v>Villa Barboza</v>
          </cell>
          <cell r="D269" t="str">
            <v>PE Dir Sur</v>
          </cell>
          <cell r="E269" t="str">
            <v>PE Ger P3 Ayacucho</v>
          </cell>
          <cell r="F269">
            <v>0</v>
          </cell>
          <cell r="G269">
            <v>6</v>
          </cell>
          <cell r="H269">
            <v>6</v>
          </cell>
          <cell r="I269">
            <v>0</v>
          </cell>
          <cell r="J269">
            <v>15</v>
          </cell>
          <cell r="K269">
            <v>15</v>
          </cell>
        </row>
        <row r="270">
          <cell r="A270">
            <v>13223884</v>
          </cell>
          <cell r="B270" t="str">
            <v>'13223884',</v>
          </cell>
          <cell r="C270" t="str">
            <v>LA RAYA - BARRA CHICLAYANA</v>
          </cell>
          <cell r="D270" t="str">
            <v>PE Dir Lima</v>
          </cell>
          <cell r="E270" t="str">
            <v>PE Ger P1 Lima Este</v>
          </cell>
          <cell r="F270">
            <v>0</v>
          </cell>
          <cell r="G270">
            <v>8</v>
          </cell>
          <cell r="H270">
            <v>8</v>
          </cell>
          <cell r="I270">
            <v>0</v>
          </cell>
          <cell r="J270">
            <v>6</v>
          </cell>
          <cell r="K270">
            <v>6</v>
          </cell>
        </row>
        <row r="271">
          <cell r="A271">
            <v>14020045</v>
          </cell>
          <cell r="B271" t="str">
            <v>'14020045',</v>
          </cell>
          <cell r="C271" t="str">
            <v>La Base Cevicheria</v>
          </cell>
          <cell r="D271" t="str">
            <v>PE Dir Norte</v>
          </cell>
          <cell r="E271" t="str">
            <v>PE Ger P2 Chiclay Ca</v>
          </cell>
          <cell r="F271">
            <v>0</v>
          </cell>
          <cell r="G271">
            <v>6</v>
          </cell>
          <cell r="H271">
            <v>6</v>
          </cell>
          <cell r="I271">
            <v>0</v>
          </cell>
          <cell r="J271">
            <v>8</v>
          </cell>
          <cell r="K271">
            <v>8</v>
          </cell>
        </row>
        <row r="272">
          <cell r="A272">
            <v>13313228</v>
          </cell>
          <cell r="B272" t="str">
            <v>'13313228',</v>
          </cell>
          <cell r="C272" t="str">
            <v>El Rincon Del Jugador</v>
          </cell>
          <cell r="D272" t="str">
            <v>PE Dir Norte</v>
          </cell>
          <cell r="E272" t="str">
            <v>PE Ger P2 Trujillo</v>
          </cell>
          <cell r="F272">
            <v>2</v>
          </cell>
          <cell r="G272">
            <v>5</v>
          </cell>
          <cell r="H272">
            <v>7</v>
          </cell>
          <cell r="I272">
            <v>0</v>
          </cell>
          <cell r="J272">
            <v>0</v>
          </cell>
          <cell r="K272">
            <v>0</v>
          </cell>
        </row>
        <row r="273">
          <cell r="A273">
            <v>14451601</v>
          </cell>
          <cell r="B273" t="str">
            <v>'14451601',</v>
          </cell>
          <cell r="C273" t="str">
            <v>La Caleta 21</v>
          </cell>
          <cell r="D273" t="str">
            <v>PE Dir Norte</v>
          </cell>
          <cell r="E273" t="str">
            <v>PE Ger P2 Trujillo</v>
          </cell>
          <cell r="F273">
            <v>1</v>
          </cell>
          <cell r="G273">
            <v>7</v>
          </cell>
          <cell r="H273">
            <v>8</v>
          </cell>
          <cell r="I273">
            <v>0</v>
          </cell>
          <cell r="J273">
            <v>0</v>
          </cell>
          <cell r="K273">
            <v>0</v>
          </cell>
        </row>
        <row r="274">
          <cell r="A274">
            <v>12489045</v>
          </cell>
          <cell r="B274" t="str">
            <v>'12489045',</v>
          </cell>
          <cell r="C274" t="str">
            <v>SanMar Restobar</v>
          </cell>
          <cell r="D274" t="str">
            <v>PE Dir Lima</v>
          </cell>
          <cell r="E274" t="str">
            <v>PE Ger P1 Lima Este</v>
          </cell>
          <cell r="F274">
            <v>3</v>
          </cell>
          <cell r="G274">
            <v>5</v>
          </cell>
          <cell r="H274">
            <v>8</v>
          </cell>
          <cell r="I274">
            <v>0</v>
          </cell>
          <cell r="J274">
            <v>5</v>
          </cell>
          <cell r="K274">
            <v>5</v>
          </cell>
        </row>
        <row r="275">
          <cell r="A275">
            <v>14181033</v>
          </cell>
          <cell r="B275" t="str">
            <v>'14181033',</v>
          </cell>
          <cell r="C275" t="str">
            <v>La Huerta del Loncco</v>
          </cell>
          <cell r="D275" t="str">
            <v>PE Dir Sur</v>
          </cell>
          <cell r="E275" t="str">
            <v>PE Ger P3 Arequipa</v>
          </cell>
          <cell r="F275">
            <v>0</v>
          </cell>
          <cell r="G275">
            <v>8</v>
          </cell>
          <cell r="H275">
            <v>8</v>
          </cell>
          <cell r="I275">
            <v>0</v>
          </cell>
          <cell r="J275">
            <v>8</v>
          </cell>
          <cell r="K275">
            <v>8</v>
          </cell>
        </row>
        <row r="276">
          <cell r="A276">
            <v>14300851</v>
          </cell>
          <cell r="B276" t="str">
            <v>'14300851',</v>
          </cell>
          <cell r="C276" t="str">
            <v>Garage 940</v>
          </cell>
          <cell r="D276" t="str">
            <v>PE Dir Norte</v>
          </cell>
          <cell r="E276" t="str">
            <v>PE Ger P2 Chiclay Ca</v>
          </cell>
          <cell r="F276">
            <v>4</v>
          </cell>
          <cell r="G276">
            <v>2</v>
          </cell>
          <cell r="H276">
            <v>6</v>
          </cell>
          <cell r="I276">
            <v>4</v>
          </cell>
          <cell r="J276">
            <v>2</v>
          </cell>
          <cell r="K276">
            <v>6</v>
          </cell>
        </row>
        <row r="277">
          <cell r="A277">
            <v>14303052</v>
          </cell>
          <cell r="B277" t="str">
            <v>'14303052',</v>
          </cell>
          <cell r="C277" t="str">
            <v>LA CALETA LAMBRAMANI</v>
          </cell>
          <cell r="D277" t="str">
            <v>PE Dir Sur</v>
          </cell>
          <cell r="E277" t="str">
            <v>PE Ger P3 Arequipa</v>
          </cell>
          <cell r="F277">
            <v>1</v>
          </cell>
          <cell r="G277">
            <v>7</v>
          </cell>
          <cell r="H277">
            <v>8</v>
          </cell>
          <cell r="I277">
            <v>0</v>
          </cell>
          <cell r="J277">
            <v>0</v>
          </cell>
          <cell r="K277">
            <v>0</v>
          </cell>
        </row>
        <row r="278">
          <cell r="A278">
            <v>11801994</v>
          </cell>
          <cell r="B278" t="str">
            <v>'11801994',</v>
          </cell>
          <cell r="C278" t="str">
            <v>La Patarashca</v>
          </cell>
          <cell r="D278" t="str">
            <v>PE Dir Centro Orient</v>
          </cell>
          <cell r="E278" t="str">
            <v>PE Ger P4 Tarapoto</v>
          </cell>
          <cell r="F278">
            <v>4</v>
          </cell>
          <cell r="G278">
            <v>2</v>
          </cell>
          <cell r="H278">
            <v>6</v>
          </cell>
          <cell r="I278">
            <v>0</v>
          </cell>
          <cell r="J278">
            <v>4</v>
          </cell>
          <cell r="K278">
            <v>4</v>
          </cell>
        </row>
        <row r="279">
          <cell r="A279">
            <v>11768259</v>
          </cell>
          <cell r="B279" t="str">
            <v>'11768259',</v>
          </cell>
          <cell r="C279" t="str">
            <v>Centro Recreacional Laredo Grande</v>
          </cell>
          <cell r="D279" t="str">
            <v>PE Dir Norte</v>
          </cell>
          <cell r="E279" t="str">
            <v>PE Ger P2 Trujillo</v>
          </cell>
          <cell r="F279">
            <v>6</v>
          </cell>
          <cell r="G279">
            <v>0</v>
          </cell>
          <cell r="H279">
            <v>6</v>
          </cell>
          <cell r="I279">
            <v>0</v>
          </cell>
          <cell r="J279">
            <v>0</v>
          </cell>
          <cell r="K279">
            <v>0</v>
          </cell>
        </row>
        <row r="280">
          <cell r="A280">
            <v>11038278</v>
          </cell>
          <cell r="B280" t="str">
            <v>'11038278',</v>
          </cell>
          <cell r="C280" t="str">
            <v>El Olimpico</v>
          </cell>
          <cell r="D280" t="str">
            <v>PE Dir Lima</v>
          </cell>
          <cell r="E280" t="str">
            <v>PE Ger P1 Lima Oeste</v>
          </cell>
          <cell r="F280">
            <v>4</v>
          </cell>
          <cell r="G280">
            <v>5</v>
          </cell>
          <cell r="H280">
            <v>9</v>
          </cell>
          <cell r="I280">
            <v>0</v>
          </cell>
          <cell r="J280">
            <v>4</v>
          </cell>
          <cell r="K280">
            <v>4</v>
          </cell>
        </row>
        <row r="281">
          <cell r="A281">
            <v>14453209</v>
          </cell>
          <cell r="B281" t="str">
            <v>'14453209',</v>
          </cell>
          <cell r="C281" t="str">
            <v>Delicias del norte</v>
          </cell>
          <cell r="D281" t="str">
            <v>PE Dir Norte</v>
          </cell>
          <cell r="E281" t="str">
            <v>PE Ger P2 Piura</v>
          </cell>
          <cell r="F281">
            <v>6</v>
          </cell>
          <cell r="G281">
            <v>0</v>
          </cell>
          <cell r="H281">
            <v>6</v>
          </cell>
          <cell r="I281">
            <v>4</v>
          </cell>
          <cell r="J281">
            <v>2</v>
          </cell>
          <cell r="K281">
            <v>6</v>
          </cell>
        </row>
        <row r="282">
          <cell r="A282">
            <v>14230991</v>
          </cell>
          <cell r="B282" t="str">
            <v>'14230991',</v>
          </cell>
          <cell r="C282" t="str">
            <v>Restaurant Noches de Fuego</v>
          </cell>
          <cell r="D282" t="str">
            <v>PE Dir Norte</v>
          </cell>
          <cell r="E282" t="str">
            <v>PE Ger P2 Piura</v>
          </cell>
          <cell r="F282">
            <v>4</v>
          </cell>
          <cell r="G282">
            <v>5</v>
          </cell>
          <cell r="H282">
            <v>9</v>
          </cell>
          <cell r="I282">
            <v>1</v>
          </cell>
          <cell r="J282">
            <v>8</v>
          </cell>
          <cell r="K282">
            <v>9</v>
          </cell>
        </row>
        <row r="283">
          <cell r="A283">
            <v>14318734</v>
          </cell>
          <cell r="B283" t="str">
            <v>'14318734',</v>
          </cell>
          <cell r="C283" t="str">
            <v>Caleta Conchas Negras</v>
          </cell>
          <cell r="D283" t="str">
            <v>PE Dir Lima</v>
          </cell>
          <cell r="E283" t="str">
            <v>PE Ger P1 Lima Centr</v>
          </cell>
          <cell r="F283">
            <v>3</v>
          </cell>
          <cell r="G283">
            <v>10</v>
          </cell>
          <cell r="H283">
            <v>13</v>
          </cell>
          <cell r="I283">
            <v>1</v>
          </cell>
          <cell r="J283">
            <v>6</v>
          </cell>
          <cell r="K283">
            <v>7</v>
          </cell>
        </row>
        <row r="284">
          <cell r="A284">
            <v>11750622</v>
          </cell>
          <cell r="B284" t="str">
            <v>'11750622',</v>
          </cell>
          <cell r="C284" t="str">
            <v>Yarinaz Restaurat</v>
          </cell>
          <cell r="D284" t="str">
            <v>PE Dir Centro Orient</v>
          </cell>
          <cell r="E284" t="str">
            <v>PE Ger P4 Pucall Hco</v>
          </cell>
          <cell r="F284">
            <v>0</v>
          </cell>
          <cell r="G284">
            <v>15</v>
          </cell>
          <cell r="H284">
            <v>15</v>
          </cell>
          <cell r="I284">
            <v>0</v>
          </cell>
          <cell r="J284">
            <v>8</v>
          </cell>
          <cell r="K284">
            <v>8</v>
          </cell>
        </row>
        <row r="285">
          <cell r="A285">
            <v>10262055</v>
          </cell>
          <cell r="B285" t="str">
            <v>'10262055',</v>
          </cell>
          <cell r="C285" t="str">
            <v>Cevicheria El Olimpico</v>
          </cell>
          <cell r="D285" t="str">
            <v>PE Dir Lima</v>
          </cell>
          <cell r="E285" t="str">
            <v>PE Ger P1 Lima Oeste</v>
          </cell>
          <cell r="F285">
            <v>4</v>
          </cell>
          <cell r="G285">
            <v>3</v>
          </cell>
          <cell r="H285">
            <v>7</v>
          </cell>
          <cell r="I285">
            <v>0</v>
          </cell>
          <cell r="J285">
            <v>1</v>
          </cell>
          <cell r="K285">
            <v>1</v>
          </cell>
        </row>
        <row r="286">
          <cell r="A286">
            <v>11453247</v>
          </cell>
          <cell r="B286" t="str">
            <v>'11453247',</v>
          </cell>
          <cell r="C286" t="str">
            <v>El Rey de mares</v>
          </cell>
          <cell r="D286" t="str">
            <v>PE Dir Lima</v>
          </cell>
          <cell r="E286" t="str">
            <v>PE Ger P1 Lima Sur</v>
          </cell>
          <cell r="F286">
            <v>0</v>
          </cell>
          <cell r="G286">
            <v>13</v>
          </cell>
          <cell r="H286">
            <v>13</v>
          </cell>
          <cell r="I286">
            <v>0</v>
          </cell>
          <cell r="J286">
            <v>7</v>
          </cell>
          <cell r="K286">
            <v>7</v>
          </cell>
        </row>
        <row r="287">
          <cell r="A287">
            <v>13540067</v>
          </cell>
          <cell r="B287" t="str">
            <v>'13540067',</v>
          </cell>
          <cell r="C287" t="str">
            <v>Resaca restaurant - 2</v>
          </cell>
          <cell r="D287" t="str">
            <v>PE Dir Norte</v>
          </cell>
          <cell r="E287" t="str">
            <v>PE Ger P2 Piura</v>
          </cell>
          <cell r="F287">
            <v>4</v>
          </cell>
          <cell r="G287">
            <v>3</v>
          </cell>
          <cell r="H287">
            <v>7</v>
          </cell>
          <cell r="I287">
            <v>0</v>
          </cell>
          <cell r="J287">
            <v>3</v>
          </cell>
          <cell r="K287">
            <v>3</v>
          </cell>
        </row>
        <row r="288">
          <cell r="A288">
            <v>14225198</v>
          </cell>
          <cell r="B288" t="str">
            <v>'14225198',</v>
          </cell>
          <cell r="C288" t="str">
            <v>La carreta siglo xx</v>
          </cell>
          <cell r="D288" t="str">
            <v>PE Dir Sur</v>
          </cell>
          <cell r="E288" t="str">
            <v>PE Ger P3 Arequipa</v>
          </cell>
          <cell r="F288">
            <v>1</v>
          </cell>
          <cell r="G288">
            <v>11</v>
          </cell>
          <cell r="H288">
            <v>12</v>
          </cell>
          <cell r="I288">
            <v>1</v>
          </cell>
          <cell r="J288">
            <v>6</v>
          </cell>
          <cell r="K288">
            <v>7</v>
          </cell>
        </row>
        <row r="289">
          <cell r="A289">
            <v>13834805</v>
          </cell>
          <cell r="B289" t="str">
            <v>'13834805',</v>
          </cell>
          <cell r="C289" t="str">
            <v>El Remo Cevicheria</v>
          </cell>
          <cell r="D289" t="str">
            <v>PE Dir Lima</v>
          </cell>
          <cell r="E289" t="str">
            <v>PE Ger P1 Lima Norte</v>
          </cell>
          <cell r="F289">
            <v>0</v>
          </cell>
          <cell r="G289">
            <v>9</v>
          </cell>
          <cell r="H289">
            <v>9</v>
          </cell>
          <cell r="I289">
            <v>0</v>
          </cell>
          <cell r="J289">
            <v>10</v>
          </cell>
          <cell r="K289">
            <v>10</v>
          </cell>
        </row>
        <row r="290">
          <cell r="A290">
            <v>12192504</v>
          </cell>
          <cell r="B290" t="str">
            <v>'12192504',</v>
          </cell>
          <cell r="C290" t="str">
            <v>CENTRO CAMPESTRE JACARANDA</v>
          </cell>
          <cell r="D290" t="str">
            <v>PE Dir Centro Orient</v>
          </cell>
          <cell r="E290" t="str">
            <v>PE Ger P4 Pucall Hco</v>
          </cell>
          <cell r="F290">
            <v>2</v>
          </cell>
          <cell r="G290">
            <v>8</v>
          </cell>
          <cell r="H290">
            <v>10</v>
          </cell>
          <cell r="I290">
            <v>0</v>
          </cell>
          <cell r="J290">
            <v>0</v>
          </cell>
          <cell r="K290">
            <v>0</v>
          </cell>
        </row>
        <row r="291">
          <cell r="A291">
            <v>12836942</v>
          </cell>
          <cell r="B291" t="str">
            <v>'12836942',</v>
          </cell>
          <cell r="C291" t="str">
            <v>Mar 21 - Pescados y Mariscos</v>
          </cell>
          <cell r="D291" t="str">
            <v>PE Dir Lima</v>
          </cell>
          <cell r="E291" t="str">
            <v>PE Ger P1 Lima Oeste</v>
          </cell>
          <cell r="F291">
            <v>4</v>
          </cell>
          <cell r="G291">
            <v>4</v>
          </cell>
          <cell r="H291">
            <v>8</v>
          </cell>
          <cell r="I291">
            <v>0</v>
          </cell>
          <cell r="J291">
            <v>2</v>
          </cell>
          <cell r="K291">
            <v>2</v>
          </cell>
        </row>
        <row r="292">
          <cell r="A292">
            <v>12933153</v>
          </cell>
          <cell r="B292" t="str">
            <v>'12933153',</v>
          </cell>
          <cell r="C292" t="str">
            <v>El Rincon del Rey</v>
          </cell>
          <cell r="D292" t="str">
            <v>PE Dir Lima</v>
          </cell>
          <cell r="E292" t="str">
            <v>PE Ger P1 Lima Centr</v>
          </cell>
          <cell r="F292">
            <v>0</v>
          </cell>
          <cell r="G292">
            <v>8</v>
          </cell>
          <cell r="H292">
            <v>8</v>
          </cell>
          <cell r="I292">
            <v>0</v>
          </cell>
          <cell r="J292">
            <v>4</v>
          </cell>
          <cell r="K292">
            <v>4</v>
          </cell>
        </row>
        <row r="293">
          <cell r="A293">
            <v>11061195</v>
          </cell>
          <cell r="B293" t="str">
            <v>'11061195',</v>
          </cell>
          <cell r="C293" t="str">
            <v>Cevicheria puerto encantado</v>
          </cell>
          <cell r="D293" t="str">
            <v>PE Dir Lima</v>
          </cell>
          <cell r="E293" t="str">
            <v>PE Ger P1 Norte Chi</v>
          </cell>
          <cell r="F293">
            <v>0</v>
          </cell>
          <cell r="G293">
            <v>7</v>
          </cell>
          <cell r="H293">
            <v>7</v>
          </cell>
          <cell r="I293">
            <v>0</v>
          </cell>
          <cell r="J293">
            <v>4</v>
          </cell>
          <cell r="K293">
            <v>4</v>
          </cell>
        </row>
        <row r="294">
          <cell r="A294">
            <v>14380454</v>
          </cell>
          <cell r="B294" t="str">
            <v>'14380454',</v>
          </cell>
          <cell r="C294" t="str">
            <v>Cevicheria Yordi luna</v>
          </cell>
          <cell r="D294" t="str">
            <v>PE Dir Lima</v>
          </cell>
          <cell r="E294" t="str">
            <v>PE Ger P1 Lima Norte</v>
          </cell>
          <cell r="F294">
            <v>0</v>
          </cell>
          <cell r="G294">
            <v>7</v>
          </cell>
          <cell r="H294">
            <v>7</v>
          </cell>
          <cell r="I294">
            <v>0</v>
          </cell>
          <cell r="J294">
            <v>0</v>
          </cell>
          <cell r="K294">
            <v>0</v>
          </cell>
        </row>
        <row r="295">
          <cell r="A295">
            <v>12551627</v>
          </cell>
          <cell r="B295" t="str">
            <v>'12551627',</v>
          </cell>
          <cell r="C295" t="str">
            <v>La Caleta de Chucuito</v>
          </cell>
          <cell r="D295" t="str">
            <v>PE Dir Lima</v>
          </cell>
          <cell r="E295" t="str">
            <v>PE Ger P1 Lima Oeste</v>
          </cell>
          <cell r="F295">
            <v>4</v>
          </cell>
          <cell r="G295">
            <v>3</v>
          </cell>
          <cell r="H295">
            <v>7</v>
          </cell>
          <cell r="I295">
            <v>0</v>
          </cell>
          <cell r="J295">
            <v>1</v>
          </cell>
          <cell r="K295">
            <v>1</v>
          </cell>
        </row>
        <row r="296">
          <cell r="A296">
            <v>12310060</v>
          </cell>
          <cell r="B296" t="str">
            <v>'12310060',</v>
          </cell>
          <cell r="C296" t="str">
            <v>EL CORDON Y LA ROSA CARRETERA</v>
          </cell>
          <cell r="D296" t="str">
            <v>PE Dir Sur</v>
          </cell>
          <cell r="E296" t="str">
            <v>PE Ger P3 Sur Chico</v>
          </cell>
          <cell r="F296">
            <v>2</v>
          </cell>
          <cell r="G296">
            <v>6</v>
          </cell>
          <cell r="H296">
            <v>8</v>
          </cell>
          <cell r="I296">
            <v>0</v>
          </cell>
          <cell r="J296">
            <v>6</v>
          </cell>
          <cell r="K296">
            <v>6</v>
          </cell>
        </row>
        <row r="297">
          <cell r="A297">
            <v>14259571</v>
          </cell>
          <cell r="B297" t="str">
            <v>'14259571',</v>
          </cell>
          <cell r="C297" t="str">
            <v>Restaurante Las Rosas</v>
          </cell>
          <cell r="D297" t="str">
            <v>PE Dir Sur</v>
          </cell>
          <cell r="E297" t="str">
            <v>PE Ger P3 Ayacucho</v>
          </cell>
          <cell r="F297">
            <v>3</v>
          </cell>
          <cell r="G297">
            <v>3</v>
          </cell>
          <cell r="H297">
            <v>6</v>
          </cell>
          <cell r="I297">
            <v>0</v>
          </cell>
          <cell r="J297">
            <v>0</v>
          </cell>
          <cell r="K297">
            <v>0</v>
          </cell>
        </row>
        <row r="298">
          <cell r="A298">
            <v>10104517</v>
          </cell>
          <cell r="B298" t="str">
            <v>'10104517',</v>
          </cell>
          <cell r="C298" t="str">
            <v>Tunupa valle</v>
          </cell>
          <cell r="D298" t="str">
            <v>PE Dir Sur</v>
          </cell>
          <cell r="E298" t="str">
            <v>PE Ger P3 Cusco</v>
          </cell>
          <cell r="F298">
            <v>0</v>
          </cell>
          <cell r="G298">
            <v>11</v>
          </cell>
          <cell r="H298">
            <v>11</v>
          </cell>
          <cell r="I298">
            <v>0</v>
          </cell>
          <cell r="J298">
            <v>10</v>
          </cell>
          <cell r="K298">
            <v>10</v>
          </cell>
        </row>
        <row r="299">
          <cell r="A299">
            <v>11134246</v>
          </cell>
          <cell r="B299" t="str">
            <v>'11134246',</v>
          </cell>
          <cell r="C299" t="str">
            <v>Valle Oasi</v>
          </cell>
          <cell r="D299" t="str">
            <v>PE Dir Norte</v>
          </cell>
          <cell r="E299" t="str">
            <v>PE Ger P2 Trujillo</v>
          </cell>
          <cell r="F299">
            <v>0</v>
          </cell>
          <cell r="G299">
            <v>7</v>
          </cell>
          <cell r="H299">
            <v>7</v>
          </cell>
          <cell r="I299">
            <v>0</v>
          </cell>
          <cell r="J299">
            <v>0</v>
          </cell>
          <cell r="K299">
            <v>0</v>
          </cell>
        </row>
        <row r="300">
          <cell r="A300">
            <v>11195217</v>
          </cell>
          <cell r="B300" t="str">
            <v>'11195217',</v>
          </cell>
          <cell r="C300" t="str">
            <v>Sol Picante</v>
          </cell>
          <cell r="D300" t="str">
            <v>PE Dir Norte</v>
          </cell>
          <cell r="E300" t="str">
            <v>PE Ger P2 Piura</v>
          </cell>
          <cell r="F300">
            <v>0</v>
          </cell>
          <cell r="G300">
            <v>10</v>
          </cell>
          <cell r="H300">
            <v>10</v>
          </cell>
          <cell r="I300">
            <v>0</v>
          </cell>
          <cell r="J300">
            <v>0</v>
          </cell>
          <cell r="K300">
            <v>0</v>
          </cell>
        </row>
        <row r="301">
          <cell r="A301">
            <v>11715334</v>
          </cell>
          <cell r="B301" t="str">
            <v>'11715334',</v>
          </cell>
          <cell r="C301" t="str">
            <v>Restaurant La Camara</v>
          </cell>
          <cell r="D301" t="str">
            <v>PE Dir Norte</v>
          </cell>
          <cell r="E301" t="str">
            <v>PE Ger P2 Tumbes T</v>
          </cell>
          <cell r="F301">
            <v>4</v>
          </cell>
          <cell r="G301">
            <v>8</v>
          </cell>
          <cell r="H301">
            <v>12</v>
          </cell>
          <cell r="I301">
            <v>0</v>
          </cell>
          <cell r="J301">
            <v>0</v>
          </cell>
          <cell r="K301">
            <v>0</v>
          </cell>
        </row>
        <row r="302">
          <cell r="A302">
            <v>14012523</v>
          </cell>
          <cell r="B302" t="str">
            <v>'14012523',</v>
          </cell>
          <cell r="C302" t="str">
            <v>La embajada arequipeña</v>
          </cell>
          <cell r="D302" t="str">
            <v>PE Dir Sur</v>
          </cell>
          <cell r="E302" t="str">
            <v>PE Ger P3 Arequipa</v>
          </cell>
          <cell r="F302">
            <v>0</v>
          </cell>
          <cell r="G302">
            <v>8</v>
          </cell>
          <cell r="H302">
            <v>8</v>
          </cell>
          <cell r="I302">
            <v>0</v>
          </cell>
          <cell r="J302">
            <v>5</v>
          </cell>
          <cell r="K302">
            <v>5</v>
          </cell>
        </row>
        <row r="303">
          <cell r="A303">
            <v>14435239</v>
          </cell>
          <cell r="B303" t="str">
            <v>'14435239',</v>
          </cell>
          <cell r="C303" t="str">
            <v>Anticuchos Bran Jesús María</v>
          </cell>
          <cell r="D303" t="str">
            <v>PE Dir Lima</v>
          </cell>
          <cell r="E303" t="str">
            <v>PE Ger P1 Lima Centr</v>
          </cell>
          <cell r="F303">
            <v>0</v>
          </cell>
          <cell r="G303">
            <v>8</v>
          </cell>
          <cell r="H303">
            <v>8</v>
          </cell>
          <cell r="I303">
            <v>0</v>
          </cell>
          <cell r="J303">
            <v>3</v>
          </cell>
          <cell r="K303">
            <v>3</v>
          </cell>
        </row>
        <row r="304">
          <cell r="A304">
            <v>13932222</v>
          </cell>
          <cell r="B304" t="str">
            <v>'13932222',</v>
          </cell>
          <cell r="C304" t="str">
            <v>El Paraiso Huanca</v>
          </cell>
          <cell r="D304" t="str">
            <v>PE Dir Lima</v>
          </cell>
          <cell r="E304" t="str">
            <v>PE Ger P1 Lima Este</v>
          </cell>
          <cell r="F304">
            <v>0</v>
          </cell>
          <cell r="G304">
            <v>13</v>
          </cell>
          <cell r="H304">
            <v>13</v>
          </cell>
          <cell r="I304">
            <v>0</v>
          </cell>
          <cell r="J304">
            <v>5</v>
          </cell>
          <cell r="K304">
            <v>5</v>
          </cell>
        </row>
        <row r="305">
          <cell r="A305">
            <v>12301188</v>
          </cell>
          <cell r="B305" t="str">
            <v>'12301188',</v>
          </cell>
          <cell r="C305" t="str">
            <v>Laguna Azul</v>
          </cell>
          <cell r="D305" t="str">
            <v>PE Dir Norte</v>
          </cell>
          <cell r="E305" t="str">
            <v>PE Ger P2 Tumbes T</v>
          </cell>
          <cell r="F305">
            <v>0</v>
          </cell>
          <cell r="G305">
            <v>14</v>
          </cell>
          <cell r="H305">
            <v>14</v>
          </cell>
          <cell r="I305">
            <v>0</v>
          </cell>
          <cell r="J305">
            <v>0</v>
          </cell>
          <cell r="K305">
            <v>0</v>
          </cell>
        </row>
        <row r="306">
          <cell r="A306">
            <v>13165718</v>
          </cell>
          <cell r="B306" t="str">
            <v>'13165718',</v>
          </cell>
          <cell r="C306" t="str">
            <v>Pikao Brasas &amp; Mariscos</v>
          </cell>
          <cell r="D306" t="str">
            <v>PE Dir Norte</v>
          </cell>
          <cell r="E306" t="str">
            <v>PE Ger P2 Piura</v>
          </cell>
          <cell r="F306">
            <v>0</v>
          </cell>
          <cell r="G306">
            <v>13</v>
          </cell>
          <cell r="H306">
            <v>13</v>
          </cell>
          <cell r="I306">
            <v>0</v>
          </cell>
          <cell r="J306">
            <v>4</v>
          </cell>
          <cell r="K306">
            <v>4</v>
          </cell>
        </row>
        <row r="307">
          <cell r="A307">
            <v>11561943</v>
          </cell>
          <cell r="B307" t="str">
            <v>'11561943',</v>
          </cell>
          <cell r="C307" t="str">
            <v>EL PULPO NORTEÑO</v>
          </cell>
          <cell r="D307" t="str">
            <v>PE Dir Lima</v>
          </cell>
          <cell r="E307" t="str">
            <v>PE Ger P1 Lima Este</v>
          </cell>
          <cell r="F307">
            <v>2</v>
          </cell>
          <cell r="G307">
            <v>5</v>
          </cell>
          <cell r="H307">
            <v>7</v>
          </cell>
          <cell r="I307">
            <v>0</v>
          </cell>
          <cell r="J307">
            <v>2</v>
          </cell>
          <cell r="K307">
            <v>2</v>
          </cell>
        </row>
        <row r="308">
          <cell r="A308">
            <v>14254083</v>
          </cell>
          <cell r="B308" t="str">
            <v>'14254083',</v>
          </cell>
          <cell r="C308" t="str">
            <v>La Herencia</v>
          </cell>
          <cell r="D308" t="str">
            <v>PE Dir Sur</v>
          </cell>
          <cell r="E308" t="str">
            <v>PE Ger P3 Arequipa</v>
          </cell>
          <cell r="F308">
            <v>0</v>
          </cell>
          <cell r="G308">
            <v>10</v>
          </cell>
          <cell r="H308">
            <v>10</v>
          </cell>
          <cell r="I308">
            <v>0</v>
          </cell>
          <cell r="J308">
            <v>8</v>
          </cell>
          <cell r="K308">
            <v>8</v>
          </cell>
        </row>
        <row r="309">
          <cell r="A309">
            <v>10034675</v>
          </cell>
          <cell r="B309" t="str">
            <v>'10034675',</v>
          </cell>
          <cell r="C309" t="str">
            <v>Restaurant Cevichería Mi Rosita</v>
          </cell>
          <cell r="D309" t="str">
            <v>PE Dir Norte</v>
          </cell>
          <cell r="E309" t="str">
            <v>PE Ger P2 Piura</v>
          </cell>
          <cell r="F309">
            <v>3</v>
          </cell>
          <cell r="G309">
            <v>5</v>
          </cell>
          <cell r="H309">
            <v>8</v>
          </cell>
          <cell r="I309">
            <v>0</v>
          </cell>
          <cell r="J309">
            <v>2</v>
          </cell>
          <cell r="K309">
            <v>2</v>
          </cell>
        </row>
        <row r="310">
          <cell r="A310">
            <v>11211800</v>
          </cell>
          <cell r="B310" t="str">
            <v>'11211800',</v>
          </cell>
          <cell r="C310" t="str">
            <v>El perla</v>
          </cell>
          <cell r="D310" t="str">
            <v>PE Dir Sur</v>
          </cell>
          <cell r="E310" t="str">
            <v>PE Ger P3 Arequipa</v>
          </cell>
          <cell r="F310">
            <v>0</v>
          </cell>
          <cell r="G310">
            <v>6</v>
          </cell>
          <cell r="H310">
            <v>6</v>
          </cell>
          <cell r="I310">
            <v>0</v>
          </cell>
          <cell r="J310">
            <v>3</v>
          </cell>
          <cell r="K310">
            <v>3</v>
          </cell>
        </row>
        <row r="311">
          <cell r="A311">
            <v>11675689</v>
          </cell>
          <cell r="B311" t="str">
            <v>'11675689',</v>
          </cell>
          <cell r="C311" t="str">
            <v>Resaca restaurant - 1</v>
          </cell>
          <cell r="D311" t="str">
            <v>PE Dir Norte</v>
          </cell>
          <cell r="E311" t="str">
            <v>PE Ger P2 Piura</v>
          </cell>
          <cell r="F311">
            <v>5</v>
          </cell>
          <cell r="G311">
            <v>3</v>
          </cell>
          <cell r="H311">
            <v>8</v>
          </cell>
          <cell r="I311">
            <v>5</v>
          </cell>
          <cell r="J311">
            <v>2</v>
          </cell>
          <cell r="K311">
            <v>7</v>
          </cell>
        </row>
        <row r="312">
          <cell r="A312">
            <v>11059006</v>
          </cell>
          <cell r="B312" t="str">
            <v>'11059006',</v>
          </cell>
          <cell r="C312" t="str">
            <v>Restobar Bucanieri</v>
          </cell>
          <cell r="D312" t="str">
            <v>PE Dir Lima</v>
          </cell>
          <cell r="E312" t="str">
            <v>PE Ger P1 Lima Sur</v>
          </cell>
          <cell r="F312">
            <v>1</v>
          </cell>
          <cell r="G312">
            <v>6</v>
          </cell>
          <cell r="H312">
            <v>7</v>
          </cell>
          <cell r="I312">
            <v>0</v>
          </cell>
          <cell r="J312">
            <v>5</v>
          </cell>
          <cell r="K312">
            <v>5</v>
          </cell>
        </row>
        <row r="313">
          <cell r="A313">
            <v>11662729</v>
          </cell>
          <cell r="B313" t="str">
            <v>'11662729',</v>
          </cell>
          <cell r="C313" t="str">
            <v>BERYPEZ - LINCE</v>
          </cell>
          <cell r="D313" t="str">
            <v>PE Dir Lima</v>
          </cell>
          <cell r="E313" t="str">
            <v>PE Ger P1 Lima Centr</v>
          </cell>
          <cell r="F313">
            <v>2</v>
          </cell>
          <cell r="G313">
            <v>9</v>
          </cell>
          <cell r="H313">
            <v>11</v>
          </cell>
          <cell r="I313">
            <v>2</v>
          </cell>
          <cell r="J313">
            <v>5</v>
          </cell>
          <cell r="K313">
            <v>7</v>
          </cell>
        </row>
        <row r="314">
          <cell r="A314">
            <v>14421571</v>
          </cell>
          <cell r="B314" t="str">
            <v>'14421571',</v>
          </cell>
          <cell r="C314" t="str">
            <v>Xplosion Norteña</v>
          </cell>
          <cell r="D314" t="str">
            <v>PE Dir Centro Orient</v>
          </cell>
          <cell r="E314" t="str">
            <v>PE Ger P4 Tarapoto</v>
          </cell>
          <cell r="F314">
            <v>0</v>
          </cell>
          <cell r="G314">
            <v>10</v>
          </cell>
          <cell r="H314">
            <v>10</v>
          </cell>
          <cell r="I314">
            <v>0</v>
          </cell>
          <cell r="J314">
            <v>5</v>
          </cell>
          <cell r="K314">
            <v>5</v>
          </cell>
        </row>
        <row r="315">
          <cell r="A315">
            <v>10142254</v>
          </cell>
          <cell r="B315" t="str">
            <v>'10142254',</v>
          </cell>
          <cell r="C315" t="str">
            <v>El barranquino</v>
          </cell>
          <cell r="D315" t="str">
            <v>PE Dir Centro Orient</v>
          </cell>
          <cell r="E315" t="str">
            <v>PE Ger P4 Tarapoto</v>
          </cell>
          <cell r="F315">
            <v>0</v>
          </cell>
          <cell r="G315">
            <v>11</v>
          </cell>
          <cell r="H315">
            <v>11</v>
          </cell>
          <cell r="I315">
            <v>0</v>
          </cell>
          <cell r="J315">
            <v>0</v>
          </cell>
          <cell r="K315">
            <v>0</v>
          </cell>
        </row>
        <row r="316">
          <cell r="A316">
            <v>11411209</v>
          </cell>
          <cell r="B316" t="str">
            <v>'11411209',</v>
          </cell>
          <cell r="C316" t="str">
            <v>Albertina</v>
          </cell>
          <cell r="D316" t="str">
            <v>PE Dir Sur</v>
          </cell>
          <cell r="E316" t="str">
            <v>PE Ger P3 Tacna</v>
          </cell>
          <cell r="F316">
            <v>0</v>
          </cell>
          <cell r="G316">
            <v>10</v>
          </cell>
          <cell r="H316">
            <v>10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>
            <v>10166670</v>
          </cell>
          <cell r="B317" t="str">
            <v>'10166670',</v>
          </cell>
          <cell r="C317" t="str">
            <v>POISIS MAR</v>
          </cell>
          <cell r="D317" t="str">
            <v>PE Dir Lima</v>
          </cell>
          <cell r="E317" t="str">
            <v>PE Ger P1 Lima Centr</v>
          </cell>
          <cell r="F317">
            <v>0</v>
          </cell>
          <cell r="G317">
            <v>6</v>
          </cell>
          <cell r="H317">
            <v>6</v>
          </cell>
          <cell r="I317">
            <v>1</v>
          </cell>
          <cell r="J317">
            <v>1</v>
          </cell>
          <cell r="K317">
            <v>2</v>
          </cell>
        </row>
        <row r="318">
          <cell r="A318">
            <v>11499831</v>
          </cell>
          <cell r="B318" t="str">
            <v>'11499831',</v>
          </cell>
          <cell r="C318" t="str">
            <v>LEMONFISH</v>
          </cell>
          <cell r="D318" t="str">
            <v>PE Dir Lima</v>
          </cell>
          <cell r="E318" t="str">
            <v>PE Ger P1 Lima Oeste</v>
          </cell>
          <cell r="F318">
            <v>0</v>
          </cell>
          <cell r="G318">
            <v>10</v>
          </cell>
          <cell r="H318">
            <v>10</v>
          </cell>
          <cell r="I318">
            <v>0</v>
          </cell>
          <cell r="J318">
            <v>11</v>
          </cell>
          <cell r="K318">
            <v>11</v>
          </cell>
        </row>
        <row r="319">
          <cell r="A319">
            <v>11206731</v>
          </cell>
          <cell r="B319" t="str">
            <v>'11206731',</v>
          </cell>
          <cell r="C319" t="str">
            <v>Las Lagunas de Conache</v>
          </cell>
          <cell r="D319" t="str">
            <v>PE Dir Norte</v>
          </cell>
          <cell r="E319" t="str">
            <v>PE Ger P2 Trujillo</v>
          </cell>
          <cell r="F319">
            <v>1</v>
          </cell>
          <cell r="G319">
            <v>4</v>
          </cell>
          <cell r="H319">
            <v>5</v>
          </cell>
          <cell r="I319">
            <v>0</v>
          </cell>
          <cell r="J319">
            <v>0</v>
          </cell>
          <cell r="K319">
            <v>0</v>
          </cell>
        </row>
        <row r="320">
          <cell r="A320">
            <v>10974609</v>
          </cell>
          <cell r="B320" t="str">
            <v>'10974609',</v>
          </cell>
          <cell r="C320" t="str">
            <v>PUNTA MAR</v>
          </cell>
          <cell r="D320" t="str">
            <v>PE Dir Lima</v>
          </cell>
          <cell r="E320" t="str">
            <v>PE Ger P1 Lima Sur</v>
          </cell>
          <cell r="F320">
            <v>2</v>
          </cell>
          <cell r="G320">
            <v>5</v>
          </cell>
          <cell r="H320">
            <v>7</v>
          </cell>
          <cell r="I320">
            <v>0</v>
          </cell>
          <cell r="J320">
            <v>5</v>
          </cell>
          <cell r="K320">
            <v>5</v>
          </cell>
        </row>
        <row r="321">
          <cell r="A321">
            <v>13020554</v>
          </cell>
          <cell r="B321" t="str">
            <v>'13020554',</v>
          </cell>
          <cell r="C321" t="str">
            <v>Dónde Freddys</v>
          </cell>
          <cell r="D321" t="str">
            <v>PE Dir Lima</v>
          </cell>
          <cell r="E321" t="str">
            <v>PE Ger P1 Lima Sur</v>
          </cell>
          <cell r="F321">
            <v>1</v>
          </cell>
          <cell r="G321">
            <v>6</v>
          </cell>
          <cell r="H321">
            <v>7</v>
          </cell>
          <cell r="I321">
            <v>0</v>
          </cell>
          <cell r="J321">
            <v>0</v>
          </cell>
          <cell r="K321">
            <v>0</v>
          </cell>
        </row>
        <row r="322">
          <cell r="A322">
            <v>14416904</v>
          </cell>
          <cell r="B322" t="str">
            <v>'14416904',</v>
          </cell>
          <cell r="C322" t="str">
            <v>LA OLLA AREQUPEÑA</v>
          </cell>
          <cell r="D322" t="str">
            <v>PE Dir Lima</v>
          </cell>
          <cell r="E322" t="str">
            <v>PE Ger P1 Lima Norte</v>
          </cell>
          <cell r="F322">
            <v>1</v>
          </cell>
          <cell r="G322">
            <v>6</v>
          </cell>
          <cell r="H322">
            <v>7</v>
          </cell>
          <cell r="I322">
            <v>0</v>
          </cell>
          <cell r="J322">
            <v>0</v>
          </cell>
          <cell r="K322">
            <v>0</v>
          </cell>
        </row>
        <row r="323">
          <cell r="A323">
            <v>14407675</v>
          </cell>
          <cell r="B323" t="str">
            <v>'14407675',</v>
          </cell>
          <cell r="C323" t="str">
            <v>Mr Sunkha</v>
          </cell>
          <cell r="D323" t="str">
            <v>PE Dir Lima</v>
          </cell>
          <cell r="E323" t="str">
            <v>PE Ger P1 Lima Norte</v>
          </cell>
          <cell r="F323">
            <v>0</v>
          </cell>
          <cell r="G323">
            <v>6</v>
          </cell>
          <cell r="H323">
            <v>6</v>
          </cell>
          <cell r="I323">
            <v>0</v>
          </cell>
          <cell r="J323">
            <v>5</v>
          </cell>
          <cell r="K323">
            <v>5</v>
          </cell>
        </row>
        <row r="324">
          <cell r="A324">
            <v>14283390</v>
          </cell>
          <cell r="B324" t="str">
            <v>'14283390',</v>
          </cell>
          <cell r="C324" t="str">
            <v>EL CHERETE</v>
          </cell>
          <cell r="D324" t="str">
            <v>PE Dir Lima</v>
          </cell>
          <cell r="E324" t="str">
            <v>PE Ger P1 Lima Sur</v>
          </cell>
          <cell r="F324">
            <v>0</v>
          </cell>
          <cell r="G324">
            <v>23</v>
          </cell>
          <cell r="H324">
            <v>23</v>
          </cell>
          <cell r="I324">
            <v>0</v>
          </cell>
          <cell r="J324">
            <v>17</v>
          </cell>
          <cell r="K324">
            <v>17</v>
          </cell>
        </row>
        <row r="325">
          <cell r="A325">
            <v>14193190</v>
          </cell>
          <cell r="B325" t="str">
            <v>'14193190',</v>
          </cell>
          <cell r="C325" t="str">
            <v>Puerto marino buffet</v>
          </cell>
          <cell r="D325" t="str">
            <v>PE Dir Lima</v>
          </cell>
          <cell r="E325" t="str">
            <v>PE Ger P1 Lima Centr</v>
          </cell>
          <cell r="F325">
            <v>4</v>
          </cell>
          <cell r="G325">
            <v>2</v>
          </cell>
          <cell r="H325">
            <v>6</v>
          </cell>
          <cell r="I325">
            <v>0</v>
          </cell>
          <cell r="J325">
            <v>4</v>
          </cell>
          <cell r="K325">
            <v>4</v>
          </cell>
        </row>
        <row r="326">
          <cell r="A326">
            <v>14435824</v>
          </cell>
          <cell r="B326" t="str">
            <v>'14435824',</v>
          </cell>
          <cell r="C326" t="str">
            <v>RESTAURANTE &amp; GRILL LA DOCE</v>
          </cell>
          <cell r="D326" t="str">
            <v>PE Dir Norte</v>
          </cell>
          <cell r="E326" t="str">
            <v>PE Ger P2 Piura</v>
          </cell>
          <cell r="F326">
            <v>2</v>
          </cell>
          <cell r="G326">
            <v>5</v>
          </cell>
          <cell r="H326">
            <v>7</v>
          </cell>
          <cell r="I326">
            <v>0</v>
          </cell>
          <cell r="J326">
            <v>7</v>
          </cell>
          <cell r="K326">
            <v>7</v>
          </cell>
        </row>
        <row r="327">
          <cell r="A327">
            <v>13835384</v>
          </cell>
          <cell r="B327" t="str">
            <v>'13835384',</v>
          </cell>
          <cell r="C327" t="str">
            <v>LA BAHÍA AZUL</v>
          </cell>
          <cell r="D327" t="str">
            <v>PE Dir Lima</v>
          </cell>
          <cell r="E327" t="str">
            <v>PE Ger P1 Lima Sur</v>
          </cell>
          <cell r="F327">
            <v>3</v>
          </cell>
          <cell r="G327">
            <v>3</v>
          </cell>
          <cell r="H327">
            <v>6</v>
          </cell>
          <cell r="I327">
            <v>0</v>
          </cell>
          <cell r="J327">
            <v>2</v>
          </cell>
          <cell r="K327">
            <v>2</v>
          </cell>
        </row>
        <row r="328">
          <cell r="A328">
            <v>13755922</v>
          </cell>
          <cell r="B328" t="str">
            <v>'13755922',</v>
          </cell>
          <cell r="C328" t="str">
            <v>Cala y Mar</v>
          </cell>
          <cell r="D328" t="str">
            <v>PE Dir Lima</v>
          </cell>
          <cell r="E328" t="str">
            <v>PE Ger P1 Lima Oeste</v>
          </cell>
          <cell r="F328">
            <v>3</v>
          </cell>
          <cell r="G328">
            <v>5</v>
          </cell>
          <cell r="H328">
            <v>8</v>
          </cell>
          <cell r="I328">
            <v>0</v>
          </cell>
          <cell r="J328">
            <v>2</v>
          </cell>
          <cell r="K328">
            <v>2</v>
          </cell>
        </row>
        <row r="329">
          <cell r="A329">
            <v>14196130</v>
          </cell>
          <cell r="B329" t="str">
            <v>'14196130',</v>
          </cell>
          <cell r="C329" t="str">
            <v>El Tuyuyo</v>
          </cell>
          <cell r="D329" t="str">
            <v>PE Dir Centro Orient</v>
          </cell>
          <cell r="E329" t="str">
            <v>PE Ger P4 Pucall Hco</v>
          </cell>
          <cell r="F329">
            <v>0</v>
          </cell>
          <cell r="G329">
            <v>18</v>
          </cell>
          <cell r="H329">
            <v>18</v>
          </cell>
          <cell r="I329">
            <v>0</v>
          </cell>
          <cell r="J329">
            <v>0</v>
          </cell>
          <cell r="K329">
            <v>0</v>
          </cell>
        </row>
        <row r="330">
          <cell r="A330">
            <v>14223672</v>
          </cell>
          <cell r="B330" t="str">
            <v>'14223672',</v>
          </cell>
          <cell r="C330" t="str">
            <v>La B Restaurante</v>
          </cell>
          <cell r="D330" t="str">
            <v>PE Dir Norte</v>
          </cell>
          <cell r="E330" t="str">
            <v>PE Ger P2 Chiclay Ca</v>
          </cell>
          <cell r="F330">
            <v>1</v>
          </cell>
          <cell r="G330">
            <v>8</v>
          </cell>
          <cell r="H330">
            <v>9</v>
          </cell>
          <cell r="I330">
            <v>0</v>
          </cell>
          <cell r="J330">
            <v>0</v>
          </cell>
          <cell r="K330">
            <v>0</v>
          </cell>
        </row>
        <row r="331">
          <cell r="A331">
            <v>14488311</v>
          </cell>
          <cell r="B331" t="str">
            <v>'14488311',</v>
          </cell>
          <cell r="C331" t="str">
            <v>Urpicha Gastronomía &amp; Eventos</v>
          </cell>
          <cell r="D331" t="str">
            <v>PE Dir Sur</v>
          </cell>
          <cell r="E331" t="str">
            <v>PE Ger P3 Sur Chico</v>
          </cell>
          <cell r="F331">
            <v>1</v>
          </cell>
          <cell r="G331">
            <v>11</v>
          </cell>
          <cell r="H331">
            <v>12</v>
          </cell>
          <cell r="I331">
            <v>0</v>
          </cell>
          <cell r="J331">
            <v>11</v>
          </cell>
          <cell r="K331">
            <v>11</v>
          </cell>
        </row>
        <row r="332">
          <cell r="A332">
            <v>11715306</v>
          </cell>
          <cell r="B332" t="str">
            <v>'11715306',</v>
          </cell>
          <cell r="C332" t="str">
            <v>Cafe - Restaurante Rincon de Vallejo - Caballos de Paso</v>
          </cell>
          <cell r="D332" t="str">
            <v>PE Dir Norte</v>
          </cell>
          <cell r="E332" t="str">
            <v>PE Ger P2 Trujillo</v>
          </cell>
          <cell r="F332">
            <v>0</v>
          </cell>
          <cell r="G332">
            <v>5</v>
          </cell>
          <cell r="H332">
            <v>5</v>
          </cell>
          <cell r="I332">
            <v>0</v>
          </cell>
          <cell r="J332">
            <v>6</v>
          </cell>
          <cell r="K332">
            <v>6</v>
          </cell>
        </row>
        <row r="333">
          <cell r="A333">
            <v>11753581</v>
          </cell>
          <cell r="B333" t="str">
            <v>'11753581',</v>
          </cell>
          <cell r="C333" t="str">
            <v>CEVICHON</v>
          </cell>
          <cell r="D333" t="str">
            <v>PE Dir Lima</v>
          </cell>
          <cell r="E333" t="str">
            <v>PE Ger P1 Lima Este</v>
          </cell>
          <cell r="F333">
            <v>1</v>
          </cell>
          <cell r="G333">
            <v>4</v>
          </cell>
          <cell r="H333">
            <v>5</v>
          </cell>
          <cell r="I333">
            <v>0</v>
          </cell>
          <cell r="J333">
            <v>3</v>
          </cell>
          <cell r="K333">
            <v>3</v>
          </cell>
        </row>
        <row r="334">
          <cell r="A334">
            <v>14067261</v>
          </cell>
          <cell r="B334" t="str">
            <v>'14067261',</v>
          </cell>
          <cell r="C334" t="str">
            <v>Restaurante cevicheria mi charito</v>
          </cell>
          <cell r="D334" t="str">
            <v>PE Dir Norte</v>
          </cell>
          <cell r="E334" t="str">
            <v>PE Ger P2 Piura</v>
          </cell>
          <cell r="F334">
            <v>3</v>
          </cell>
          <cell r="G334">
            <v>2</v>
          </cell>
          <cell r="H334">
            <v>5</v>
          </cell>
          <cell r="I334">
            <v>0</v>
          </cell>
          <cell r="J334">
            <v>0</v>
          </cell>
          <cell r="K334">
            <v>0</v>
          </cell>
        </row>
        <row r="335">
          <cell r="A335">
            <v>12752964</v>
          </cell>
          <cell r="B335" t="str">
            <v>'12752964',</v>
          </cell>
          <cell r="C335" t="str">
            <v>Mar &amp; Loches</v>
          </cell>
          <cell r="D335" t="str">
            <v>PE Dir Norte</v>
          </cell>
          <cell r="E335" t="str">
            <v>PE Ger P2 Chiclay Ca</v>
          </cell>
          <cell r="F335">
            <v>4</v>
          </cell>
          <cell r="G335">
            <v>0</v>
          </cell>
          <cell r="H335">
            <v>4</v>
          </cell>
          <cell r="I335">
            <v>0</v>
          </cell>
          <cell r="J335">
            <v>4</v>
          </cell>
          <cell r="K335">
            <v>4</v>
          </cell>
        </row>
        <row r="336">
          <cell r="A336">
            <v>13520612</v>
          </cell>
          <cell r="B336" t="str">
            <v>'13520612',</v>
          </cell>
          <cell r="C336" t="str">
            <v>Bar peña turística la juan</v>
          </cell>
          <cell r="D336" t="str">
            <v>PE Dir Norte</v>
          </cell>
          <cell r="E336" t="str">
            <v>PE Ger P2 Piura</v>
          </cell>
          <cell r="F336">
            <v>2</v>
          </cell>
          <cell r="G336">
            <v>2</v>
          </cell>
          <cell r="H336">
            <v>4</v>
          </cell>
          <cell r="I336">
            <v>0</v>
          </cell>
          <cell r="J336">
            <v>0</v>
          </cell>
          <cell r="K336">
            <v>0</v>
          </cell>
        </row>
        <row r="337">
          <cell r="A337">
            <v>11749048</v>
          </cell>
          <cell r="B337" t="str">
            <v>'11749048',</v>
          </cell>
          <cell r="C337" t="str">
            <v>LA GRILERIA PERU S.A.C</v>
          </cell>
          <cell r="D337" t="str">
            <v>PE Dir Lima</v>
          </cell>
          <cell r="E337" t="str">
            <v>PE Ger P1 Lima Sur</v>
          </cell>
          <cell r="F337">
            <v>0</v>
          </cell>
          <cell r="G337">
            <v>8</v>
          </cell>
          <cell r="H337">
            <v>8</v>
          </cell>
          <cell r="I337">
            <v>0</v>
          </cell>
          <cell r="J337">
            <v>1</v>
          </cell>
          <cell r="K337">
            <v>1</v>
          </cell>
        </row>
        <row r="338">
          <cell r="A338">
            <v>12252183</v>
          </cell>
          <cell r="B338" t="str">
            <v>'12252183',</v>
          </cell>
          <cell r="C338" t="str">
            <v>La red central</v>
          </cell>
          <cell r="D338" t="str">
            <v>PE Dir Sur</v>
          </cell>
          <cell r="E338" t="str">
            <v>PE Ger P3 Puno</v>
          </cell>
          <cell r="F338">
            <v>0</v>
          </cell>
          <cell r="G338">
            <v>10</v>
          </cell>
          <cell r="H338">
            <v>10</v>
          </cell>
          <cell r="I338">
            <v>0</v>
          </cell>
          <cell r="J338">
            <v>10</v>
          </cell>
          <cell r="K338">
            <v>10</v>
          </cell>
        </row>
        <row r="339">
          <cell r="A339">
            <v>13343157</v>
          </cell>
          <cell r="B339" t="str">
            <v>'13343157',</v>
          </cell>
          <cell r="C339" t="str">
            <v>Cebicheria Fabián (Parque)</v>
          </cell>
          <cell r="D339" t="str">
            <v>PE Dir Lima</v>
          </cell>
          <cell r="E339" t="str">
            <v>PE Ger P1 Lima Oeste</v>
          </cell>
          <cell r="F339">
            <v>4</v>
          </cell>
          <cell r="G339">
            <v>2</v>
          </cell>
          <cell r="H339">
            <v>6</v>
          </cell>
          <cell r="I339">
            <v>0</v>
          </cell>
          <cell r="J339">
            <v>4</v>
          </cell>
          <cell r="K339">
            <v>4</v>
          </cell>
        </row>
        <row r="340">
          <cell r="A340">
            <v>14427258</v>
          </cell>
          <cell r="B340" t="str">
            <v>'14427258',</v>
          </cell>
          <cell r="C340" t="str">
            <v>Conchitas Negras</v>
          </cell>
          <cell r="D340" t="str">
            <v>PE Dir Norte</v>
          </cell>
          <cell r="E340" t="str">
            <v>PE Ger P2 Trujillo</v>
          </cell>
          <cell r="F340">
            <v>0</v>
          </cell>
          <cell r="G340">
            <v>4</v>
          </cell>
          <cell r="H340">
            <v>4</v>
          </cell>
          <cell r="I340">
            <v>0</v>
          </cell>
          <cell r="J340">
            <v>0</v>
          </cell>
          <cell r="K340">
            <v>0</v>
          </cell>
        </row>
        <row r="341">
          <cell r="A341">
            <v>14378641</v>
          </cell>
          <cell r="B341" t="str">
            <v>'14378641',</v>
          </cell>
          <cell r="C341" t="str">
            <v>Señor Cuy</v>
          </cell>
          <cell r="D341" t="str">
            <v>PE Dir Norte</v>
          </cell>
          <cell r="E341" t="str">
            <v>PE Ger P2 Trujillo</v>
          </cell>
          <cell r="F341">
            <v>1</v>
          </cell>
          <cell r="G341">
            <v>4</v>
          </cell>
          <cell r="H341">
            <v>5</v>
          </cell>
          <cell r="I341">
            <v>0</v>
          </cell>
          <cell r="J341">
            <v>0</v>
          </cell>
          <cell r="K341">
            <v>0</v>
          </cell>
        </row>
        <row r="342">
          <cell r="A342">
            <v>13867697</v>
          </cell>
          <cell r="B342" t="str">
            <v>'13867697',</v>
          </cell>
          <cell r="C342" t="str">
            <v>La Tradicion Del Pelao III</v>
          </cell>
          <cell r="D342" t="str">
            <v>PE Dir Norte</v>
          </cell>
          <cell r="E342" t="str">
            <v>PE Ger P2 Piura</v>
          </cell>
          <cell r="F342">
            <v>0</v>
          </cell>
          <cell r="G342">
            <v>6</v>
          </cell>
          <cell r="H342">
            <v>6</v>
          </cell>
          <cell r="I342">
            <v>0</v>
          </cell>
          <cell r="J342">
            <v>4</v>
          </cell>
          <cell r="K342">
            <v>4</v>
          </cell>
        </row>
        <row r="343">
          <cell r="A343">
            <v>11792692</v>
          </cell>
          <cell r="B343" t="str">
            <v>'11792692',</v>
          </cell>
          <cell r="C343" t="str">
            <v>Los arcos inolvidables</v>
          </cell>
          <cell r="D343" t="str">
            <v>PE Dir Sur</v>
          </cell>
          <cell r="E343" t="str">
            <v>PE Ger P3 Tacna</v>
          </cell>
          <cell r="F343">
            <v>0</v>
          </cell>
          <cell r="G343">
            <v>8</v>
          </cell>
          <cell r="H343">
            <v>8</v>
          </cell>
          <cell r="I343">
            <v>0</v>
          </cell>
          <cell r="J343">
            <v>0</v>
          </cell>
          <cell r="K343">
            <v>0</v>
          </cell>
        </row>
        <row r="344">
          <cell r="A344">
            <v>14293368</v>
          </cell>
          <cell r="B344" t="str">
            <v>'14293368',</v>
          </cell>
          <cell r="C344" t="str">
            <v>El mirador de la Rivera eriko</v>
          </cell>
          <cell r="D344" t="str">
            <v>PE Dir Lima</v>
          </cell>
          <cell r="E344" t="str">
            <v>PE Ger P1 Lima Oeste</v>
          </cell>
          <cell r="F344">
            <v>0</v>
          </cell>
          <cell r="G344">
            <v>4</v>
          </cell>
          <cell r="H344">
            <v>4</v>
          </cell>
          <cell r="I344">
            <v>0</v>
          </cell>
          <cell r="J344">
            <v>0</v>
          </cell>
          <cell r="K344">
            <v>0</v>
          </cell>
        </row>
        <row r="345">
          <cell r="A345">
            <v>14393671</v>
          </cell>
          <cell r="B345" t="str">
            <v>'14393671',</v>
          </cell>
          <cell r="C345" t="str">
            <v>La esquina azul</v>
          </cell>
          <cell r="D345" t="str">
            <v>PE Dir Lima</v>
          </cell>
          <cell r="E345" t="str">
            <v>PE Ger P1 Lima Norte</v>
          </cell>
          <cell r="F345">
            <v>0</v>
          </cell>
          <cell r="G345">
            <v>5</v>
          </cell>
          <cell r="H345">
            <v>5</v>
          </cell>
          <cell r="I345">
            <v>0</v>
          </cell>
          <cell r="J345">
            <v>4</v>
          </cell>
          <cell r="K345">
            <v>4</v>
          </cell>
        </row>
        <row r="346">
          <cell r="A346">
            <v>13822675</v>
          </cell>
          <cell r="B346" t="str">
            <v>'13822675',</v>
          </cell>
          <cell r="C346" t="str">
            <v>EL COSTILLON</v>
          </cell>
          <cell r="D346" t="str">
            <v>PE Dir Sur</v>
          </cell>
          <cell r="E346" t="str">
            <v>PE Ger P3 Cusco</v>
          </cell>
          <cell r="F346">
            <v>0</v>
          </cell>
          <cell r="G346">
            <v>6</v>
          </cell>
          <cell r="H346">
            <v>6</v>
          </cell>
          <cell r="I346">
            <v>0</v>
          </cell>
          <cell r="J346">
            <v>0</v>
          </cell>
          <cell r="K346">
            <v>0</v>
          </cell>
        </row>
        <row r="347">
          <cell r="A347">
            <v>14145938</v>
          </cell>
          <cell r="B347" t="str">
            <v>'14145938',</v>
          </cell>
          <cell r="C347" t="str">
            <v>MIRASOL</v>
          </cell>
          <cell r="D347" t="str">
            <v>PE Dir Lima</v>
          </cell>
          <cell r="E347" t="str">
            <v>PE Ger P1 Lima Sur</v>
          </cell>
          <cell r="F347">
            <v>0</v>
          </cell>
          <cell r="G347">
            <v>5</v>
          </cell>
          <cell r="H347">
            <v>5</v>
          </cell>
          <cell r="I347">
            <v>0</v>
          </cell>
          <cell r="J347">
            <v>3</v>
          </cell>
          <cell r="K347">
            <v>3</v>
          </cell>
        </row>
        <row r="348">
          <cell r="A348">
            <v>14345989</v>
          </cell>
          <cell r="B348" t="str">
            <v>'14345989',</v>
          </cell>
          <cell r="C348" t="str">
            <v>Restaurant turístico el algarrobo</v>
          </cell>
          <cell r="D348" t="str">
            <v>PE Dir Norte</v>
          </cell>
          <cell r="E348" t="str">
            <v>PE Ger P2 Piura</v>
          </cell>
          <cell r="F348">
            <v>2</v>
          </cell>
          <cell r="G348">
            <v>5</v>
          </cell>
          <cell r="H348">
            <v>7</v>
          </cell>
          <cell r="I348">
            <v>0</v>
          </cell>
          <cell r="J348">
            <v>0</v>
          </cell>
          <cell r="K348">
            <v>0</v>
          </cell>
        </row>
        <row r="349">
          <cell r="A349">
            <v>13383139</v>
          </cell>
          <cell r="B349" t="str">
            <v>'13383139',</v>
          </cell>
          <cell r="C349" t="str">
            <v>Restaurante Cevicheria Dieguiño</v>
          </cell>
          <cell r="D349" t="str">
            <v>PE Dir Lima</v>
          </cell>
          <cell r="E349" t="str">
            <v>PE Ger P1 Lima Centr</v>
          </cell>
          <cell r="F349">
            <v>0</v>
          </cell>
          <cell r="G349">
            <v>6</v>
          </cell>
          <cell r="H349">
            <v>6</v>
          </cell>
          <cell r="I349">
            <v>0</v>
          </cell>
          <cell r="J349">
            <v>6</v>
          </cell>
          <cell r="K349">
            <v>6</v>
          </cell>
        </row>
        <row r="350">
          <cell r="A350">
            <v>14024856</v>
          </cell>
          <cell r="B350" t="str">
            <v>'14024856',</v>
          </cell>
          <cell r="C350" t="str">
            <v>De tinto y madero</v>
          </cell>
          <cell r="D350" t="str">
            <v>PE Dir Centro Orient</v>
          </cell>
          <cell r="E350" t="str">
            <v>PE Ger P4 Pucall Hco</v>
          </cell>
          <cell r="F350">
            <v>0</v>
          </cell>
          <cell r="G350">
            <v>12</v>
          </cell>
          <cell r="H350">
            <v>12</v>
          </cell>
          <cell r="I350">
            <v>0</v>
          </cell>
          <cell r="J350">
            <v>4</v>
          </cell>
          <cell r="K350">
            <v>4</v>
          </cell>
        </row>
        <row r="351">
          <cell r="A351">
            <v>14462378</v>
          </cell>
          <cell r="B351" t="str">
            <v>'14462378',</v>
          </cell>
          <cell r="C351" t="str">
            <v>La Casa de Alberto El Paisita Sede Los Higos</v>
          </cell>
          <cell r="D351" t="str">
            <v>PE Dir Lima</v>
          </cell>
          <cell r="E351" t="str">
            <v>PE Ger P1 Lima Este</v>
          </cell>
          <cell r="F351">
            <v>2</v>
          </cell>
          <cell r="G351">
            <v>11</v>
          </cell>
          <cell r="H351">
            <v>13</v>
          </cell>
          <cell r="I351">
            <v>0</v>
          </cell>
          <cell r="J351">
            <v>2</v>
          </cell>
          <cell r="K351">
            <v>2</v>
          </cell>
        </row>
        <row r="352">
          <cell r="A352">
            <v>11069799</v>
          </cell>
          <cell r="B352" t="str">
            <v>'11069799',</v>
          </cell>
          <cell r="C352" t="str">
            <v>La choza de la anaconda</v>
          </cell>
          <cell r="D352" t="str">
            <v>PE Dir Lima</v>
          </cell>
          <cell r="E352" t="str">
            <v>PE Ger P1 Lima Oeste</v>
          </cell>
          <cell r="F352">
            <v>0</v>
          </cell>
          <cell r="G352">
            <v>5</v>
          </cell>
          <cell r="H352">
            <v>5</v>
          </cell>
          <cell r="I352">
            <v>0</v>
          </cell>
          <cell r="J352">
            <v>0</v>
          </cell>
          <cell r="K352">
            <v>0</v>
          </cell>
        </row>
        <row r="353">
          <cell r="A353">
            <v>12839008</v>
          </cell>
          <cell r="B353" t="str">
            <v>'12839008',</v>
          </cell>
          <cell r="C353" t="str">
            <v>89 acevichados</v>
          </cell>
          <cell r="D353" t="str">
            <v>PE Dir Lima</v>
          </cell>
          <cell r="E353" t="str">
            <v>PE Ger P1 Lima Norte</v>
          </cell>
          <cell r="F353">
            <v>0</v>
          </cell>
          <cell r="G353">
            <v>5</v>
          </cell>
          <cell r="H353">
            <v>5</v>
          </cell>
          <cell r="I353">
            <v>0</v>
          </cell>
          <cell r="J353">
            <v>0</v>
          </cell>
          <cell r="K353">
            <v>0</v>
          </cell>
        </row>
        <row r="354">
          <cell r="A354">
            <v>11422752</v>
          </cell>
          <cell r="B354" t="str">
            <v>'11422752',</v>
          </cell>
          <cell r="C354" t="str">
            <v>Recreo Campestre Las Marias</v>
          </cell>
          <cell r="D354" t="str">
            <v>PE Dir Norte</v>
          </cell>
          <cell r="E354" t="str">
            <v>PE Ger P2 Piura</v>
          </cell>
          <cell r="F354">
            <v>3</v>
          </cell>
          <cell r="G354">
            <v>1</v>
          </cell>
          <cell r="H354">
            <v>4</v>
          </cell>
          <cell r="I354">
            <v>0</v>
          </cell>
          <cell r="J354">
            <v>0</v>
          </cell>
          <cell r="K354">
            <v>0</v>
          </cell>
        </row>
        <row r="355">
          <cell r="A355">
            <v>14191379</v>
          </cell>
          <cell r="B355" t="str">
            <v>'14191379',</v>
          </cell>
          <cell r="C355" t="str">
            <v>Bolivar parilla</v>
          </cell>
          <cell r="D355" t="str">
            <v>PE Dir Lima</v>
          </cell>
          <cell r="E355" t="str">
            <v>PE Ger P1 Norte Chi</v>
          </cell>
          <cell r="F355">
            <v>0</v>
          </cell>
          <cell r="G355">
            <v>6</v>
          </cell>
          <cell r="H355">
            <v>6</v>
          </cell>
          <cell r="I355">
            <v>0</v>
          </cell>
          <cell r="J355">
            <v>8</v>
          </cell>
          <cell r="K355">
            <v>8</v>
          </cell>
        </row>
        <row r="356">
          <cell r="A356">
            <v>14389644</v>
          </cell>
          <cell r="B356" t="str">
            <v>'14389644',</v>
          </cell>
          <cell r="C356" t="str">
            <v>Cevichería De La Concha Su Mar</v>
          </cell>
          <cell r="D356" t="str">
            <v>PE Dir Lima</v>
          </cell>
          <cell r="E356" t="str">
            <v>PE Ger P1 Norte Chi</v>
          </cell>
          <cell r="F356">
            <v>2</v>
          </cell>
          <cell r="G356">
            <v>4</v>
          </cell>
          <cell r="H356">
            <v>6</v>
          </cell>
          <cell r="I356">
            <v>2</v>
          </cell>
          <cell r="J356">
            <v>6</v>
          </cell>
          <cell r="K356">
            <v>8</v>
          </cell>
        </row>
        <row r="357">
          <cell r="A357">
            <v>13930798</v>
          </cell>
          <cell r="B357" t="str">
            <v>'13930798',</v>
          </cell>
          <cell r="C357" t="str">
            <v>EL ALFEÑIQUE</v>
          </cell>
          <cell r="D357" t="str">
            <v>PE Dir Lima</v>
          </cell>
          <cell r="E357" t="str">
            <v>PE Ger P1 Lima Centr</v>
          </cell>
          <cell r="F357">
            <v>0</v>
          </cell>
          <cell r="G357">
            <v>6</v>
          </cell>
          <cell r="H357">
            <v>6</v>
          </cell>
          <cell r="I357">
            <v>0</v>
          </cell>
          <cell r="J357">
            <v>4</v>
          </cell>
          <cell r="K357">
            <v>4</v>
          </cell>
        </row>
        <row r="358">
          <cell r="A358">
            <v>14419494</v>
          </cell>
          <cell r="B358" t="str">
            <v>'14419494',</v>
          </cell>
          <cell r="C358" t="str">
            <v>Cebicheria Pez Mudo</v>
          </cell>
          <cell r="D358" t="str">
            <v>PE Dir Sur</v>
          </cell>
          <cell r="E358" t="str">
            <v>PE Ger P3 Ayacucho</v>
          </cell>
          <cell r="F358">
            <v>4</v>
          </cell>
          <cell r="G358">
            <v>5</v>
          </cell>
          <cell r="H358">
            <v>9</v>
          </cell>
          <cell r="I358">
            <v>0</v>
          </cell>
          <cell r="J358">
            <v>0</v>
          </cell>
          <cell r="K358">
            <v>0</v>
          </cell>
        </row>
        <row r="359">
          <cell r="A359">
            <v>10097649</v>
          </cell>
          <cell r="B359" t="str">
            <v>'10097649',</v>
          </cell>
          <cell r="C359" t="str">
            <v>Kusikuypacha restaurante &amp; catering</v>
          </cell>
          <cell r="D359" t="str">
            <v>PE Dir Sur</v>
          </cell>
          <cell r="E359" t="str">
            <v>PE Ger P3 Puno</v>
          </cell>
          <cell r="F359">
            <v>4</v>
          </cell>
          <cell r="G359">
            <v>2</v>
          </cell>
          <cell r="H359">
            <v>6</v>
          </cell>
          <cell r="I359">
            <v>4</v>
          </cell>
          <cell r="J359">
            <v>0</v>
          </cell>
          <cell r="K359">
            <v>4</v>
          </cell>
        </row>
        <row r="360">
          <cell r="A360">
            <v>12254584</v>
          </cell>
          <cell r="B360" t="str">
            <v>'12254584',</v>
          </cell>
          <cell r="C360" t="str">
            <v>Café colonial</v>
          </cell>
          <cell r="D360" t="str">
            <v>PE Dir Centro Orient</v>
          </cell>
          <cell r="E360" t="str">
            <v>PE Ger P4 Huancay Ch</v>
          </cell>
          <cell r="F360">
            <v>0</v>
          </cell>
          <cell r="G360">
            <v>5</v>
          </cell>
          <cell r="H360">
            <v>5</v>
          </cell>
          <cell r="I360">
            <v>0</v>
          </cell>
          <cell r="J360">
            <v>7</v>
          </cell>
          <cell r="K360">
            <v>7</v>
          </cell>
        </row>
        <row r="361">
          <cell r="A361">
            <v>14131661</v>
          </cell>
          <cell r="B361" t="str">
            <v>'14131661',</v>
          </cell>
          <cell r="C361" t="str">
            <v>La Terraza by Luckia Bar</v>
          </cell>
          <cell r="D361" t="str">
            <v>PE Dir Lima</v>
          </cell>
          <cell r="E361" t="str">
            <v>PE Ger P1 Lima Norte</v>
          </cell>
          <cell r="F361">
            <v>0</v>
          </cell>
          <cell r="G361">
            <v>9</v>
          </cell>
          <cell r="H361">
            <v>9</v>
          </cell>
          <cell r="I361">
            <v>0</v>
          </cell>
          <cell r="J361">
            <v>5</v>
          </cell>
          <cell r="K361">
            <v>5</v>
          </cell>
        </row>
        <row r="362">
          <cell r="A362">
            <v>11573794</v>
          </cell>
          <cell r="B362" t="str">
            <v>'11573794',</v>
          </cell>
          <cell r="C362" t="str">
            <v>Dveras Restaurant Karaoke</v>
          </cell>
          <cell r="D362" t="str">
            <v>PE Dir Lima</v>
          </cell>
          <cell r="E362" t="str">
            <v>PE Ger P1 Lima Este</v>
          </cell>
          <cell r="F362">
            <v>1</v>
          </cell>
          <cell r="G362">
            <v>8</v>
          </cell>
          <cell r="H362">
            <v>9</v>
          </cell>
          <cell r="I362">
            <v>0</v>
          </cell>
          <cell r="J362">
            <v>4</v>
          </cell>
          <cell r="K362">
            <v>4</v>
          </cell>
        </row>
        <row r="363">
          <cell r="A363">
            <v>11369855</v>
          </cell>
          <cell r="B363" t="str">
            <v>'11369855',</v>
          </cell>
          <cell r="C363" t="str">
            <v>Estacion norteña</v>
          </cell>
          <cell r="D363" t="str">
            <v>PE Dir Lima</v>
          </cell>
          <cell r="E363" t="str">
            <v>PE Ger P1 Lima Norte</v>
          </cell>
          <cell r="F363">
            <v>0</v>
          </cell>
          <cell r="G363">
            <v>4</v>
          </cell>
          <cell r="H363">
            <v>4</v>
          </cell>
          <cell r="I363">
            <v>0</v>
          </cell>
          <cell r="J363">
            <v>3</v>
          </cell>
          <cell r="K363">
            <v>3</v>
          </cell>
        </row>
        <row r="364">
          <cell r="A364">
            <v>10111633</v>
          </cell>
          <cell r="B364" t="str">
            <v>'10111633',</v>
          </cell>
          <cell r="C364" t="str">
            <v>Restaurant campestre sol y sombra</v>
          </cell>
          <cell r="D364" t="str">
            <v>PE Dir Sur</v>
          </cell>
          <cell r="E364" t="str">
            <v>PE Ger P3 Tacna</v>
          </cell>
          <cell r="F364">
            <v>2</v>
          </cell>
          <cell r="G364">
            <v>4</v>
          </cell>
          <cell r="H364">
            <v>6</v>
          </cell>
          <cell r="I364">
            <v>0</v>
          </cell>
          <cell r="J364">
            <v>2</v>
          </cell>
          <cell r="K364">
            <v>2</v>
          </cell>
        </row>
        <row r="365">
          <cell r="A365">
            <v>14143999</v>
          </cell>
          <cell r="B365" t="str">
            <v>'14143999',</v>
          </cell>
          <cell r="C365" t="str">
            <v>EL TAMBO</v>
          </cell>
          <cell r="D365" t="str">
            <v>PE Dir Sur</v>
          </cell>
          <cell r="E365" t="str">
            <v>PE Ger P3 Ayacucho</v>
          </cell>
          <cell r="F365">
            <v>2</v>
          </cell>
          <cell r="G365">
            <v>2</v>
          </cell>
          <cell r="H365">
            <v>4</v>
          </cell>
          <cell r="I365">
            <v>0</v>
          </cell>
          <cell r="J365">
            <v>0</v>
          </cell>
          <cell r="K365">
            <v>0</v>
          </cell>
        </row>
        <row r="366">
          <cell r="A366">
            <v>11328768</v>
          </cell>
          <cell r="B366" t="str">
            <v>'11328768',</v>
          </cell>
          <cell r="C366" t="str">
            <v>Mi cevichito</v>
          </cell>
          <cell r="D366" t="str">
            <v>PE Dir Lima</v>
          </cell>
          <cell r="E366" t="str">
            <v>PE Ger P1 Lima Sur</v>
          </cell>
          <cell r="F366">
            <v>4</v>
          </cell>
          <cell r="G366">
            <v>6</v>
          </cell>
          <cell r="H366">
            <v>10</v>
          </cell>
          <cell r="I366">
            <v>0</v>
          </cell>
          <cell r="J366">
            <v>4</v>
          </cell>
          <cell r="K366">
            <v>4</v>
          </cell>
        </row>
        <row r="367">
          <cell r="A367">
            <v>13757085</v>
          </cell>
          <cell r="B367" t="str">
            <v>'13757085',</v>
          </cell>
          <cell r="C367" t="str">
            <v>Sabor y Sazon</v>
          </cell>
          <cell r="D367" t="str">
            <v>PE Dir Lima</v>
          </cell>
          <cell r="E367" t="str">
            <v>PE Ger P1 Norte Chi</v>
          </cell>
          <cell r="F367">
            <v>0</v>
          </cell>
          <cell r="G367">
            <v>5</v>
          </cell>
          <cell r="H367">
            <v>5</v>
          </cell>
          <cell r="I367">
            <v>0</v>
          </cell>
          <cell r="J367">
            <v>4</v>
          </cell>
          <cell r="K367">
            <v>4</v>
          </cell>
        </row>
        <row r="368">
          <cell r="A368">
            <v>10175452</v>
          </cell>
          <cell r="B368" t="str">
            <v>'10175452',</v>
          </cell>
          <cell r="C368" t="str">
            <v>Restaurante El Arca de Noé</v>
          </cell>
          <cell r="D368" t="str">
            <v>PE Dir Lima</v>
          </cell>
          <cell r="E368" t="str">
            <v>PE Ger P1 Lima Centr</v>
          </cell>
          <cell r="F368">
            <v>0</v>
          </cell>
          <cell r="G368">
            <v>8</v>
          </cell>
          <cell r="H368">
            <v>8</v>
          </cell>
          <cell r="I368">
            <v>0</v>
          </cell>
          <cell r="J368">
            <v>12</v>
          </cell>
          <cell r="K368">
            <v>12</v>
          </cell>
        </row>
        <row r="369">
          <cell r="A369">
            <v>14246355</v>
          </cell>
          <cell r="B369" t="str">
            <v>'14246355',</v>
          </cell>
          <cell r="C369" t="str">
            <v>Mr Will Restaurant Campestre</v>
          </cell>
          <cell r="D369" t="str">
            <v>PE Dir Norte</v>
          </cell>
          <cell r="E369" t="str">
            <v>PE Ger P2 Chiclay Ca</v>
          </cell>
          <cell r="F369">
            <v>4</v>
          </cell>
          <cell r="G369">
            <v>0</v>
          </cell>
          <cell r="H369">
            <v>4</v>
          </cell>
          <cell r="I369">
            <v>0</v>
          </cell>
          <cell r="J369">
            <v>4</v>
          </cell>
          <cell r="K369">
            <v>4</v>
          </cell>
        </row>
        <row r="370">
          <cell r="A370">
            <v>14196142</v>
          </cell>
          <cell r="B370" t="str">
            <v>'14196142',</v>
          </cell>
          <cell r="C370" t="str">
            <v>Soleil Punta Veleros</v>
          </cell>
          <cell r="D370" t="str">
            <v>PE Dir Norte</v>
          </cell>
          <cell r="E370" t="str">
            <v>PE Ger P2 Tumbes T</v>
          </cell>
          <cell r="F370">
            <v>0</v>
          </cell>
          <cell r="G370">
            <v>5</v>
          </cell>
          <cell r="H370">
            <v>5</v>
          </cell>
          <cell r="I370">
            <v>0</v>
          </cell>
          <cell r="J370">
            <v>0</v>
          </cell>
          <cell r="K370">
            <v>0</v>
          </cell>
        </row>
        <row r="371">
          <cell r="A371">
            <v>14006037</v>
          </cell>
          <cell r="B371" t="str">
            <v>'14006037',</v>
          </cell>
          <cell r="C371" t="str">
            <v>La choza de la anaconda</v>
          </cell>
          <cell r="D371" t="str">
            <v>PE Dir Lima</v>
          </cell>
          <cell r="E371" t="str">
            <v>PE Ger P1 Lima Oeste</v>
          </cell>
          <cell r="F371">
            <v>1</v>
          </cell>
          <cell r="G371">
            <v>4</v>
          </cell>
          <cell r="H371">
            <v>5</v>
          </cell>
          <cell r="I371">
            <v>3</v>
          </cell>
          <cell r="J371">
            <v>0</v>
          </cell>
          <cell r="K371">
            <v>3</v>
          </cell>
        </row>
        <row r="372">
          <cell r="A372">
            <v>10191429</v>
          </cell>
          <cell r="B372" t="str">
            <v>'10191429',</v>
          </cell>
          <cell r="C372" t="str">
            <v>Fauna Marina</v>
          </cell>
          <cell r="D372" t="str">
            <v>PE Dir Lima</v>
          </cell>
          <cell r="E372" t="str">
            <v>PE Ger P1 Lima Centr</v>
          </cell>
          <cell r="F372">
            <v>3</v>
          </cell>
          <cell r="G372">
            <v>6</v>
          </cell>
          <cell r="H372">
            <v>9</v>
          </cell>
          <cell r="I372">
            <v>0</v>
          </cell>
          <cell r="J372">
            <v>4</v>
          </cell>
          <cell r="K372">
            <v>4</v>
          </cell>
        </row>
        <row r="373">
          <cell r="A373">
            <v>12271672</v>
          </cell>
          <cell r="B373" t="str">
            <v>'12271672',</v>
          </cell>
          <cell r="C373" t="str">
            <v>La Casa de los Camarones</v>
          </cell>
          <cell r="D373" t="str">
            <v>PE Dir Lima</v>
          </cell>
          <cell r="E373" t="str">
            <v>PE Ger P1 Norte Chi</v>
          </cell>
          <cell r="F373">
            <v>2</v>
          </cell>
          <cell r="G373">
            <v>5</v>
          </cell>
          <cell r="H373">
            <v>7</v>
          </cell>
          <cell r="I373">
            <v>0</v>
          </cell>
          <cell r="J373">
            <v>5</v>
          </cell>
          <cell r="K373">
            <v>5</v>
          </cell>
        </row>
        <row r="374">
          <cell r="A374">
            <v>13828859</v>
          </cell>
          <cell r="B374" t="str">
            <v>'13828859',</v>
          </cell>
          <cell r="C374" t="str">
            <v>Dossier 33</v>
          </cell>
          <cell r="D374" t="str">
            <v>PE Dir Lima</v>
          </cell>
          <cell r="E374" t="str">
            <v>PE Ger P1 Lima Oeste</v>
          </cell>
          <cell r="F374">
            <v>3</v>
          </cell>
          <cell r="G374">
            <v>4</v>
          </cell>
          <cell r="H374">
            <v>7</v>
          </cell>
          <cell r="I374">
            <v>0</v>
          </cell>
          <cell r="J374">
            <v>4</v>
          </cell>
          <cell r="K374">
            <v>4</v>
          </cell>
        </row>
        <row r="375">
          <cell r="A375">
            <v>14251286</v>
          </cell>
          <cell r="B375" t="str">
            <v>'14251286',</v>
          </cell>
          <cell r="C375" t="str">
            <v>CHALAN 824</v>
          </cell>
          <cell r="D375" t="str">
            <v>PE Dir Lima</v>
          </cell>
          <cell r="E375" t="str">
            <v>PE Ger P1 Lima Sur</v>
          </cell>
          <cell r="F375">
            <v>3</v>
          </cell>
          <cell r="G375">
            <v>2</v>
          </cell>
          <cell r="H375">
            <v>5</v>
          </cell>
          <cell r="I375">
            <v>0</v>
          </cell>
          <cell r="J375">
            <v>0</v>
          </cell>
          <cell r="K375">
            <v>0</v>
          </cell>
        </row>
        <row r="376">
          <cell r="A376">
            <v>14336419</v>
          </cell>
          <cell r="B376" t="str">
            <v>'14336419',</v>
          </cell>
          <cell r="C376" t="str">
            <v>NAUTICA</v>
          </cell>
          <cell r="D376" t="str">
            <v>PE Dir Lima</v>
          </cell>
          <cell r="E376" t="str">
            <v>PE Ger P1 Lima Sur</v>
          </cell>
          <cell r="F376">
            <v>0</v>
          </cell>
          <cell r="G376">
            <v>6</v>
          </cell>
          <cell r="H376">
            <v>6</v>
          </cell>
          <cell r="I376">
            <v>0</v>
          </cell>
          <cell r="J376">
            <v>4</v>
          </cell>
          <cell r="K376">
            <v>4</v>
          </cell>
        </row>
        <row r="377">
          <cell r="A377">
            <v>10137921</v>
          </cell>
          <cell r="B377" t="str">
            <v>'10137921',</v>
          </cell>
          <cell r="C377" t="str">
            <v>La Perricholi</v>
          </cell>
          <cell r="D377" t="str">
            <v>PE Dir Centro Orient</v>
          </cell>
          <cell r="E377" t="str">
            <v>PE Ger P4 Pucall Hco</v>
          </cell>
          <cell r="F377">
            <v>3</v>
          </cell>
          <cell r="G377">
            <v>2</v>
          </cell>
          <cell r="H377">
            <v>5</v>
          </cell>
          <cell r="I377">
            <v>0</v>
          </cell>
          <cell r="J377">
            <v>0</v>
          </cell>
          <cell r="K377">
            <v>0</v>
          </cell>
        </row>
        <row r="378">
          <cell r="A378">
            <v>13486888</v>
          </cell>
          <cell r="B378" t="str">
            <v>'13486888',</v>
          </cell>
          <cell r="C378" t="str">
            <v>Oceania</v>
          </cell>
          <cell r="D378" t="str">
            <v>PE Dir Lima</v>
          </cell>
          <cell r="E378" t="str">
            <v>PE Ger P1 Lima Norte</v>
          </cell>
          <cell r="F378">
            <v>0</v>
          </cell>
          <cell r="G378">
            <v>7</v>
          </cell>
          <cell r="H378">
            <v>7</v>
          </cell>
          <cell r="I378">
            <v>0</v>
          </cell>
          <cell r="J378">
            <v>0</v>
          </cell>
          <cell r="K378">
            <v>0</v>
          </cell>
        </row>
        <row r="379">
          <cell r="A379">
            <v>13648121</v>
          </cell>
          <cell r="B379" t="str">
            <v>'13648121',</v>
          </cell>
          <cell r="C379" t="str">
            <v>Cevicheria La Negra</v>
          </cell>
          <cell r="D379" t="str">
            <v>PE Dir Sur</v>
          </cell>
          <cell r="E379" t="str">
            <v>PE Ger P3 Tacna</v>
          </cell>
          <cell r="F379">
            <v>1</v>
          </cell>
          <cell r="G379">
            <v>7</v>
          </cell>
          <cell r="H379">
            <v>8</v>
          </cell>
          <cell r="I379">
            <v>0</v>
          </cell>
          <cell r="J379">
            <v>0</v>
          </cell>
          <cell r="K379">
            <v>0</v>
          </cell>
        </row>
        <row r="380">
          <cell r="A380">
            <v>14057947</v>
          </cell>
          <cell r="B380" t="str">
            <v>'14057947',</v>
          </cell>
          <cell r="C380" t="str">
            <v>Tarantella Cucina Italiana</v>
          </cell>
          <cell r="D380" t="str">
            <v>PE Dir Norte</v>
          </cell>
          <cell r="E380" t="str">
            <v>PE Ger P2 Trujillo</v>
          </cell>
          <cell r="F380">
            <v>0</v>
          </cell>
          <cell r="G380">
            <v>3</v>
          </cell>
          <cell r="H380">
            <v>3</v>
          </cell>
          <cell r="I380">
            <v>0</v>
          </cell>
          <cell r="J380">
            <v>0</v>
          </cell>
          <cell r="K380">
            <v>0</v>
          </cell>
        </row>
        <row r="381">
          <cell r="A381">
            <v>11366726</v>
          </cell>
          <cell r="B381" t="str">
            <v>'11366726',</v>
          </cell>
          <cell r="C381" t="str">
            <v>Chulucanas</v>
          </cell>
          <cell r="D381" t="str">
            <v>PE Dir Lima</v>
          </cell>
          <cell r="E381" t="str">
            <v>PE Ger P1 Lima Centr</v>
          </cell>
          <cell r="F381">
            <v>0</v>
          </cell>
          <cell r="G381">
            <v>6</v>
          </cell>
          <cell r="H381">
            <v>6</v>
          </cell>
          <cell r="I381">
            <v>0</v>
          </cell>
          <cell r="J381">
            <v>0</v>
          </cell>
          <cell r="K381">
            <v>0</v>
          </cell>
        </row>
        <row r="382">
          <cell r="A382">
            <v>11497845</v>
          </cell>
          <cell r="B382" t="str">
            <v>'11497845',</v>
          </cell>
          <cell r="C382" t="str">
            <v>Moche</v>
          </cell>
          <cell r="D382" t="str">
            <v>PE Dir Lima</v>
          </cell>
          <cell r="E382" t="str">
            <v>PE Ger P1 Lima Centr</v>
          </cell>
          <cell r="F382">
            <v>2</v>
          </cell>
          <cell r="G382">
            <v>3</v>
          </cell>
          <cell r="H382">
            <v>5</v>
          </cell>
          <cell r="I382">
            <v>2</v>
          </cell>
          <cell r="J382">
            <v>0</v>
          </cell>
          <cell r="K382">
            <v>2</v>
          </cell>
        </row>
        <row r="383">
          <cell r="A383">
            <v>11210145</v>
          </cell>
          <cell r="B383" t="str">
            <v>'11210145',</v>
          </cell>
          <cell r="C383" t="str">
            <v>Hacienda Las Leñas</v>
          </cell>
          <cell r="D383" t="str">
            <v>PE Dir Lima</v>
          </cell>
          <cell r="E383" t="str">
            <v>PE Ger P1 Lima Sur</v>
          </cell>
          <cell r="F383">
            <v>0</v>
          </cell>
          <cell r="G383">
            <v>6</v>
          </cell>
          <cell r="H383">
            <v>6</v>
          </cell>
          <cell r="I383">
            <v>0</v>
          </cell>
          <cell r="J383">
            <v>7</v>
          </cell>
          <cell r="K383">
            <v>7</v>
          </cell>
        </row>
        <row r="384">
          <cell r="A384">
            <v>12847551</v>
          </cell>
          <cell r="B384" t="str">
            <v>'12847551',</v>
          </cell>
          <cell r="C384" t="str">
            <v>Sazon divino</v>
          </cell>
          <cell r="D384" t="str">
            <v>PE Dir Norte</v>
          </cell>
          <cell r="E384" t="str">
            <v>PE Ger P2 Piura</v>
          </cell>
          <cell r="F384">
            <v>1</v>
          </cell>
          <cell r="G384">
            <v>6</v>
          </cell>
          <cell r="H384">
            <v>7</v>
          </cell>
          <cell r="I384">
            <v>0</v>
          </cell>
          <cell r="J384">
            <v>0</v>
          </cell>
          <cell r="K384">
            <v>0</v>
          </cell>
        </row>
        <row r="385">
          <cell r="A385">
            <v>13385614</v>
          </cell>
          <cell r="B385" t="str">
            <v>'13385614',</v>
          </cell>
          <cell r="C385" t="str">
            <v>Rey del mar</v>
          </cell>
          <cell r="D385" t="str">
            <v>PE Dir Sur</v>
          </cell>
          <cell r="E385" t="str">
            <v>PE Ger P3 Tacna</v>
          </cell>
          <cell r="F385">
            <v>0</v>
          </cell>
          <cell r="G385">
            <v>6</v>
          </cell>
          <cell r="H385">
            <v>6</v>
          </cell>
          <cell r="I385">
            <v>0</v>
          </cell>
          <cell r="J385">
            <v>0</v>
          </cell>
          <cell r="K385">
            <v>0</v>
          </cell>
        </row>
        <row r="386">
          <cell r="A386">
            <v>11744714</v>
          </cell>
          <cell r="B386" t="str">
            <v>'11744714',</v>
          </cell>
          <cell r="C386" t="str">
            <v>Embarcadero</v>
          </cell>
          <cell r="D386" t="str">
            <v>PE Dir Sur</v>
          </cell>
          <cell r="E386" t="str">
            <v>PE Ger P3 Arequipa</v>
          </cell>
          <cell r="F386">
            <v>0</v>
          </cell>
          <cell r="G386">
            <v>7</v>
          </cell>
          <cell r="H386">
            <v>7</v>
          </cell>
          <cell r="I386">
            <v>0</v>
          </cell>
          <cell r="J386">
            <v>0</v>
          </cell>
          <cell r="K386">
            <v>0</v>
          </cell>
        </row>
        <row r="387">
          <cell r="A387">
            <v>14246651</v>
          </cell>
          <cell r="B387" t="str">
            <v>'14246651',</v>
          </cell>
          <cell r="C387" t="str">
            <v>Caracol Azul</v>
          </cell>
          <cell r="D387" t="str">
            <v>PE Dir Sur</v>
          </cell>
          <cell r="E387" t="str">
            <v>PE Ger P3 Cusco</v>
          </cell>
          <cell r="F387">
            <v>2</v>
          </cell>
          <cell r="G387">
            <v>5</v>
          </cell>
          <cell r="H387">
            <v>7</v>
          </cell>
          <cell r="I387">
            <v>0</v>
          </cell>
          <cell r="J387">
            <v>4</v>
          </cell>
          <cell r="K387">
            <v>4</v>
          </cell>
        </row>
        <row r="388">
          <cell r="A388">
            <v>10993699</v>
          </cell>
          <cell r="B388" t="str">
            <v>'10993699',</v>
          </cell>
          <cell r="C388" t="str">
            <v>CARNES Y CARNADAS</v>
          </cell>
          <cell r="D388" t="str">
            <v>PE Dir Norte</v>
          </cell>
          <cell r="E388" t="str">
            <v>PE Ger P2 Tumbes T</v>
          </cell>
          <cell r="F388">
            <v>0</v>
          </cell>
          <cell r="G388">
            <v>4</v>
          </cell>
          <cell r="H388">
            <v>4</v>
          </cell>
          <cell r="I388">
            <v>0</v>
          </cell>
          <cell r="J388">
            <v>0</v>
          </cell>
          <cell r="K388">
            <v>0</v>
          </cell>
        </row>
        <row r="389">
          <cell r="A389">
            <v>14324081</v>
          </cell>
          <cell r="B389" t="str">
            <v>'14324081',</v>
          </cell>
          <cell r="C389" t="str">
            <v>Cumbaza club</v>
          </cell>
          <cell r="D389" t="str">
            <v>PE Dir Centro Orient</v>
          </cell>
          <cell r="E389" t="str">
            <v>PE Ger P4 Tarapoto</v>
          </cell>
          <cell r="F389">
            <v>0</v>
          </cell>
          <cell r="G389">
            <v>6</v>
          </cell>
          <cell r="H389">
            <v>6</v>
          </cell>
          <cell r="I389">
            <v>0</v>
          </cell>
          <cell r="J389">
            <v>8</v>
          </cell>
          <cell r="K389">
            <v>8</v>
          </cell>
        </row>
        <row r="390">
          <cell r="A390">
            <v>13540980</v>
          </cell>
          <cell r="B390" t="str">
            <v>'13540980',</v>
          </cell>
          <cell r="C390" t="str">
            <v>Restaurant Mary</v>
          </cell>
          <cell r="D390" t="str">
            <v>PE Dir Norte</v>
          </cell>
          <cell r="E390" t="str">
            <v>PE Ger P2 Piura</v>
          </cell>
          <cell r="F390">
            <v>2</v>
          </cell>
          <cell r="G390">
            <v>3</v>
          </cell>
          <cell r="H390">
            <v>5</v>
          </cell>
          <cell r="I390">
            <v>0</v>
          </cell>
          <cell r="J390">
            <v>6</v>
          </cell>
          <cell r="K390">
            <v>6</v>
          </cell>
        </row>
        <row r="391">
          <cell r="A391">
            <v>10054285</v>
          </cell>
          <cell r="B391" t="str">
            <v>'10054285',</v>
          </cell>
          <cell r="C391" t="str">
            <v>Restaurant Campestre El Naranjo</v>
          </cell>
          <cell r="D391" t="str">
            <v>PE Dir Norte</v>
          </cell>
          <cell r="E391" t="str">
            <v>PE Ger P2 Trujillo</v>
          </cell>
          <cell r="F391">
            <v>1</v>
          </cell>
          <cell r="G391">
            <v>3</v>
          </cell>
          <cell r="H391">
            <v>4</v>
          </cell>
          <cell r="I391">
            <v>0</v>
          </cell>
          <cell r="J391">
            <v>0</v>
          </cell>
          <cell r="K391">
            <v>0</v>
          </cell>
        </row>
        <row r="392">
          <cell r="A392">
            <v>12125199</v>
          </cell>
          <cell r="B392" t="str">
            <v>'12125199',</v>
          </cell>
          <cell r="C392" t="str">
            <v>Cevicheria piscis</v>
          </cell>
          <cell r="D392" t="str">
            <v>PE Dir Lima</v>
          </cell>
          <cell r="E392" t="str">
            <v>PE Ger P1 Lima Oeste</v>
          </cell>
          <cell r="F392">
            <v>0</v>
          </cell>
          <cell r="G392">
            <v>4</v>
          </cell>
          <cell r="H392">
            <v>4</v>
          </cell>
          <cell r="I392">
            <v>0</v>
          </cell>
          <cell r="J392">
            <v>0</v>
          </cell>
          <cell r="K392">
            <v>0</v>
          </cell>
        </row>
        <row r="393">
          <cell r="A393">
            <v>13684869</v>
          </cell>
          <cell r="B393" t="str">
            <v>'13684869',</v>
          </cell>
          <cell r="C393" t="str">
            <v>Rincón del Mar Pacasmayo</v>
          </cell>
          <cell r="D393" t="str">
            <v>PE Dir Norte</v>
          </cell>
          <cell r="E393" t="str">
            <v>PE Ger P2 Trujillo</v>
          </cell>
          <cell r="F393">
            <v>0</v>
          </cell>
          <cell r="G393">
            <v>6</v>
          </cell>
          <cell r="H393">
            <v>6</v>
          </cell>
          <cell r="I393">
            <v>0</v>
          </cell>
          <cell r="J393">
            <v>0</v>
          </cell>
          <cell r="K393">
            <v>0</v>
          </cell>
        </row>
        <row r="394">
          <cell r="A394">
            <v>11623443</v>
          </cell>
          <cell r="B394" t="str">
            <v>'11623443',</v>
          </cell>
          <cell r="C394" t="str">
            <v>Campiña huaje</v>
          </cell>
          <cell r="D394" t="str">
            <v>PE Dir Sur</v>
          </cell>
          <cell r="E394" t="str">
            <v>PE Ger P3 Puno</v>
          </cell>
          <cell r="F394">
            <v>0</v>
          </cell>
          <cell r="G394">
            <v>5</v>
          </cell>
          <cell r="H394">
            <v>5</v>
          </cell>
          <cell r="I394">
            <v>0</v>
          </cell>
          <cell r="J394">
            <v>0</v>
          </cell>
          <cell r="K394">
            <v>0</v>
          </cell>
        </row>
        <row r="395">
          <cell r="A395">
            <v>12148595</v>
          </cell>
          <cell r="B395" t="str">
            <v>'12148595',</v>
          </cell>
          <cell r="C395" t="str">
            <v>La Maracuya</v>
          </cell>
          <cell r="D395" t="str">
            <v>PE Dir Norte</v>
          </cell>
          <cell r="E395" t="str">
            <v>PE Ger P2 Tumbes T</v>
          </cell>
          <cell r="F395">
            <v>2</v>
          </cell>
          <cell r="G395">
            <v>15</v>
          </cell>
          <cell r="H395">
            <v>17</v>
          </cell>
          <cell r="I395">
            <v>0</v>
          </cell>
          <cell r="J395">
            <v>0</v>
          </cell>
          <cell r="K395">
            <v>0</v>
          </cell>
        </row>
        <row r="396">
          <cell r="A396">
            <v>14462620</v>
          </cell>
          <cell r="B396" t="str">
            <v>'14462620',</v>
          </cell>
          <cell r="C396" t="str">
            <v>El chilalo</v>
          </cell>
          <cell r="D396" t="str">
            <v>PE Dir Norte</v>
          </cell>
          <cell r="E396" t="str">
            <v>PE Ger P2 Piura</v>
          </cell>
          <cell r="F396">
            <v>0</v>
          </cell>
          <cell r="G396">
            <v>8</v>
          </cell>
          <cell r="H396">
            <v>8</v>
          </cell>
          <cell r="I396">
            <v>0</v>
          </cell>
          <cell r="J396">
            <v>0</v>
          </cell>
          <cell r="K396">
            <v>0</v>
          </cell>
        </row>
        <row r="397">
          <cell r="A397">
            <v>14394799</v>
          </cell>
          <cell r="B397" t="str">
            <v>'14394799',</v>
          </cell>
          <cell r="C397" t="str">
            <v>Concha &amp; MR</v>
          </cell>
          <cell r="D397" t="str">
            <v>PE Dir Lima</v>
          </cell>
          <cell r="E397" t="str">
            <v>PE Ger P1 Lima Oeste</v>
          </cell>
          <cell r="F397">
            <v>3</v>
          </cell>
          <cell r="G397">
            <v>1</v>
          </cell>
          <cell r="H397">
            <v>4</v>
          </cell>
          <cell r="I397">
            <v>0</v>
          </cell>
          <cell r="J397">
            <v>0</v>
          </cell>
          <cell r="K397">
            <v>0</v>
          </cell>
        </row>
        <row r="398">
          <cell r="A398">
            <v>11450146</v>
          </cell>
          <cell r="B398" t="str">
            <v>'11450146',</v>
          </cell>
          <cell r="C398" t="str">
            <v>El Huerto de Don Julian</v>
          </cell>
          <cell r="D398" t="str">
            <v>PE Dir Lima</v>
          </cell>
          <cell r="E398" t="str">
            <v>PE Ger P1 Norte Chi</v>
          </cell>
          <cell r="F398">
            <v>2</v>
          </cell>
          <cell r="G398">
            <v>1</v>
          </cell>
          <cell r="H398">
            <v>3</v>
          </cell>
          <cell r="I398">
            <v>0</v>
          </cell>
          <cell r="J398">
            <v>2</v>
          </cell>
          <cell r="K398">
            <v>2</v>
          </cell>
        </row>
        <row r="399">
          <cell r="A399">
            <v>13791763</v>
          </cell>
          <cell r="B399" t="str">
            <v>'13791763',</v>
          </cell>
          <cell r="C399" t="str">
            <v>Asia grill bar</v>
          </cell>
          <cell r="D399" t="str">
            <v>PE Dir Sur</v>
          </cell>
          <cell r="E399" t="str">
            <v>PE Ger P3 Tacna</v>
          </cell>
          <cell r="F399">
            <v>0</v>
          </cell>
          <cell r="G399">
            <v>5</v>
          </cell>
          <cell r="H399">
            <v>5</v>
          </cell>
          <cell r="I399">
            <v>0</v>
          </cell>
          <cell r="J399">
            <v>4</v>
          </cell>
          <cell r="K399">
            <v>4</v>
          </cell>
        </row>
        <row r="400">
          <cell r="A400">
            <v>13517671</v>
          </cell>
          <cell r="B400" t="str">
            <v>'13517671',</v>
          </cell>
          <cell r="C400" t="str">
            <v>Costa Brava</v>
          </cell>
          <cell r="D400" t="str">
            <v>PE Dir Lima</v>
          </cell>
          <cell r="E400" t="str">
            <v>PE Ger P1 Lima Centr</v>
          </cell>
          <cell r="F400">
            <v>0</v>
          </cell>
          <cell r="G400">
            <v>5</v>
          </cell>
          <cell r="H400">
            <v>5</v>
          </cell>
          <cell r="I400">
            <v>0</v>
          </cell>
          <cell r="J400">
            <v>0</v>
          </cell>
          <cell r="K400">
            <v>0</v>
          </cell>
        </row>
        <row r="401">
          <cell r="A401">
            <v>12697627</v>
          </cell>
          <cell r="B401" t="str">
            <v>'12697627',</v>
          </cell>
          <cell r="C401" t="str">
            <v>ESTEROS Y MANGLARES</v>
          </cell>
          <cell r="D401" t="str">
            <v>PE Dir Lima</v>
          </cell>
          <cell r="E401" t="str">
            <v>PE Ger P1 Lima Este</v>
          </cell>
          <cell r="F401">
            <v>0</v>
          </cell>
          <cell r="G401">
            <v>4</v>
          </cell>
          <cell r="H401">
            <v>4</v>
          </cell>
          <cell r="I401">
            <v>0</v>
          </cell>
          <cell r="J401">
            <v>0</v>
          </cell>
          <cell r="K401">
            <v>0</v>
          </cell>
        </row>
        <row r="402">
          <cell r="A402">
            <v>14429330</v>
          </cell>
          <cell r="B402" t="str">
            <v>'14429330',</v>
          </cell>
          <cell r="C402" t="str">
            <v>Antojitos Chotanos Alma Corazon S.A.C</v>
          </cell>
          <cell r="D402" t="str">
            <v>PE Dir Lima</v>
          </cell>
          <cell r="E402" t="str">
            <v>PE Ger P1 Lima Oeste</v>
          </cell>
          <cell r="F402">
            <v>0</v>
          </cell>
          <cell r="G402">
            <v>7</v>
          </cell>
          <cell r="H402">
            <v>7</v>
          </cell>
          <cell r="I402">
            <v>0</v>
          </cell>
          <cell r="J402">
            <v>0</v>
          </cell>
          <cell r="K402">
            <v>0</v>
          </cell>
        </row>
        <row r="403">
          <cell r="A403">
            <v>13029134</v>
          </cell>
          <cell r="B403" t="str">
            <v>'13029134',</v>
          </cell>
          <cell r="C403" t="str">
            <v>EL WARIKE DE KARLONCHITO</v>
          </cell>
          <cell r="D403" t="str">
            <v>PE Dir Lima</v>
          </cell>
          <cell r="E403" t="str">
            <v>PE Ger P1 Lima Centr</v>
          </cell>
          <cell r="F403">
            <v>0</v>
          </cell>
          <cell r="G403">
            <v>5</v>
          </cell>
          <cell r="H403">
            <v>5</v>
          </cell>
          <cell r="I403">
            <v>0</v>
          </cell>
          <cell r="J403">
            <v>3</v>
          </cell>
          <cell r="K403">
            <v>3</v>
          </cell>
        </row>
        <row r="404">
          <cell r="A404">
            <v>14378638</v>
          </cell>
          <cell r="B404" t="str">
            <v>'14378638',</v>
          </cell>
          <cell r="C404" t="str">
            <v>Calentto</v>
          </cell>
          <cell r="D404" t="str">
            <v>PE Dir Lima</v>
          </cell>
          <cell r="E404" t="str">
            <v>PE Ger P1 Norte Chi</v>
          </cell>
          <cell r="F404">
            <v>1</v>
          </cell>
          <cell r="G404">
            <v>2</v>
          </cell>
          <cell r="H404">
            <v>3</v>
          </cell>
          <cell r="I404">
            <v>0</v>
          </cell>
          <cell r="J404">
            <v>3</v>
          </cell>
          <cell r="K404">
            <v>3</v>
          </cell>
        </row>
        <row r="405">
          <cell r="A405">
            <v>12994886</v>
          </cell>
          <cell r="B405" t="str">
            <v>'12994886',</v>
          </cell>
          <cell r="C405" t="str">
            <v>El pez</v>
          </cell>
          <cell r="D405" t="str">
            <v>PE Dir Lima</v>
          </cell>
          <cell r="E405" t="str">
            <v>PE Ger P1 Lima Norte</v>
          </cell>
          <cell r="F405">
            <v>0</v>
          </cell>
          <cell r="G405">
            <v>4</v>
          </cell>
          <cell r="H405">
            <v>4</v>
          </cell>
          <cell r="I405">
            <v>0</v>
          </cell>
          <cell r="J405">
            <v>0</v>
          </cell>
          <cell r="K405">
            <v>0</v>
          </cell>
        </row>
        <row r="406">
          <cell r="A406">
            <v>13822385</v>
          </cell>
          <cell r="B406" t="str">
            <v>'13822385',</v>
          </cell>
          <cell r="C406" t="str">
            <v>Piscis</v>
          </cell>
          <cell r="D406" t="str">
            <v>PE Dir Norte</v>
          </cell>
          <cell r="E406" t="str">
            <v>PE Ger P2 Piura</v>
          </cell>
          <cell r="F406">
            <v>0</v>
          </cell>
          <cell r="G406">
            <v>7</v>
          </cell>
          <cell r="H406">
            <v>7</v>
          </cell>
          <cell r="I406">
            <v>0</v>
          </cell>
          <cell r="J406">
            <v>3</v>
          </cell>
          <cell r="K406">
            <v>3</v>
          </cell>
        </row>
        <row r="407">
          <cell r="A407">
            <v>12201923</v>
          </cell>
          <cell r="B407" t="str">
            <v>'12201923',</v>
          </cell>
          <cell r="C407" t="str">
            <v>RESTAURANTE LAS DOS JARRAS</v>
          </cell>
          <cell r="D407" t="str">
            <v>PE Dir Norte</v>
          </cell>
          <cell r="E407" t="str">
            <v>PE Ger P2 Piura</v>
          </cell>
          <cell r="F407">
            <v>2</v>
          </cell>
          <cell r="G407">
            <v>7</v>
          </cell>
          <cell r="H407">
            <v>9</v>
          </cell>
          <cell r="I407">
            <v>3</v>
          </cell>
          <cell r="J407">
            <v>12</v>
          </cell>
          <cell r="K407">
            <v>15</v>
          </cell>
        </row>
        <row r="408">
          <cell r="A408">
            <v>11532053</v>
          </cell>
          <cell r="B408" t="str">
            <v>'11532053',</v>
          </cell>
          <cell r="C408" t="e">
            <v>#N/A</v>
          </cell>
          <cell r="D408" t="e">
            <v>#N/A</v>
          </cell>
          <cell r="E408" t="e">
            <v>#N/A</v>
          </cell>
          <cell r="F408">
            <v>0</v>
          </cell>
          <cell r="G408">
            <v>3</v>
          </cell>
          <cell r="H408">
            <v>3</v>
          </cell>
          <cell r="I408">
            <v>0</v>
          </cell>
          <cell r="J408">
            <v>0</v>
          </cell>
          <cell r="K408">
            <v>0</v>
          </cell>
        </row>
        <row r="409">
          <cell r="A409">
            <v>12764292</v>
          </cell>
          <cell r="B409" t="str">
            <v>'12764292',</v>
          </cell>
          <cell r="C409" t="e">
            <v>#N/A</v>
          </cell>
          <cell r="D409" t="e">
            <v>#N/A</v>
          </cell>
          <cell r="E409" t="e">
            <v>#N/A</v>
          </cell>
          <cell r="F409">
            <v>0</v>
          </cell>
          <cell r="G409">
            <v>3</v>
          </cell>
          <cell r="H409">
            <v>3</v>
          </cell>
          <cell r="I409">
            <v>0</v>
          </cell>
          <cell r="J409">
            <v>1</v>
          </cell>
          <cell r="K409">
            <v>1</v>
          </cell>
        </row>
        <row r="410">
          <cell r="A410">
            <v>13489033</v>
          </cell>
          <cell r="B410" t="str">
            <v>'13489033',</v>
          </cell>
          <cell r="C410" t="str">
            <v>S'CONCHA</v>
          </cell>
          <cell r="D410" t="str">
            <v>PE Dir Lima</v>
          </cell>
          <cell r="E410" t="str">
            <v>PE Ger P1 Lima Este</v>
          </cell>
          <cell r="F410">
            <v>1</v>
          </cell>
          <cell r="G410">
            <v>2</v>
          </cell>
          <cell r="H410">
            <v>3</v>
          </cell>
          <cell r="I410">
            <v>0</v>
          </cell>
          <cell r="J410">
            <v>0</v>
          </cell>
          <cell r="K410">
            <v>0</v>
          </cell>
        </row>
        <row r="411">
          <cell r="A411">
            <v>14428421</v>
          </cell>
          <cell r="B411" t="str">
            <v>'14428421',</v>
          </cell>
          <cell r="C411" t="str">
            <v>Puro norte</v>
          </cell>
          <cell r="D411" t="str">
            <v>PE Dir Lima</v>
          </cell>
          <cell r="E411" t="str">
            <v>PE Ger P1 Lima Oeste</v>
          </cell>
          <cell r="F411">
            <v>2</v>
          </cell>
          <cell r="G411">
            <v>5</v>
          </cell>
          <cell r="H411">
            <v>7</v>
          </cell>
          <cell r="I411">
            <v>0</v>
          </cell>
          <cell r="J411">
            <v>6</v>
          </cell>
          <cell r="K411">
            <v>6</v>
          </cell>
        </row>
        <row r="412">
          <cell r="A412">
            <v>14271082</v>
          </cell>
          <cell r="B412" t="str">
            <v>'14271082',</v>
          </cell>
          <cell r="C412" t="str">
            <v>Papicarte Restaurante</v>
          </cell>
          <cell r="D412" t="str">
            <v>PE Dir Norte</v>
          </cell>
          <cell r="E412" t="str">
            <v>PE Ger P2 Piura</v>
          </cell>
          <cell r="F412">
            <v>3</v>
          </cell>
          <cell r="G412">
            <v>3</v>
          </cell>
          <cell r="H412">
            <v>6</v>
          </cell>
          <cell r="I412">
            <v>0</v>
          </cell>
          <cell r="J412">
            <v>0</v>
          </cell>
          <cell r="K412">
            <v>0</v>
          </cell>
        </row>
        <row r="413">
          <cell r="A413">
            <v>14181070</v>
          </cell>
          <cell r="B413" t="str">
            <v>'14181070',</v>
          </cell>
          <cell r="C413" t="str">
            <v>Restaurante Pesqa</v>
          </cell>
          <cell r="D413" t="str">
            <v>PE Dir Norte</v>
          </cell>
          <cell r="E413" t="str">
            <v>PE Ger P2 Piura</v>
          </cell>
          <cell r="F413">
            <v>1</v>
          </cell>
          <cell r="G413">
            <v>3</v>
          </cell>
          <cell r="H413">
            <v>4</v>
          </cell>
          <cell r="I413">
            <v>1</v>
          </cell>
          <cell r="J413">
            <v>10</v>
          </cell>
          <cell r="K413">
            <v>11</v>
          </cell>
        </row>
        <row r="414">
          <cell r="A414">
            <v>14073033</v>
          </cell>
          <cell r="B414" t="str">
            <v>'14073033',</v>
          </cell>
          <cell r="C414" t="str">
            <v>Aristoteles</v>
          </cell>
          <cell r="D414" t="str">
            <v>PE Dir Norte</v>
          </cell>
          <cell r="E414" t="str">
            <v>PE Ger P2 Trujillo</v>
          </cell>
          <cell r="F414">
            <v>1</v>
          </cell>
          <cell r="G414">
            <v>3</v>
          </cell>
          <cell r="H414">
            <v>4</v>
          </cell>
          <cell r="I414">
            <v>0</v>
          </cell>
          <cell r="J414">
            <v>0</v>
          </cell>
          <cell r="K414">
            <v>0</v>
          </cell>
        </row>
        <row r="415">
          <cell r="A415">
            <v>13248768</v>
          </cell>
          <cell r="B415" t="str">
            <v>'13248768',</v>
          </cell>
          <cell r="C415" t="str">
            <v>Del Potro</v>
          </cell>
          <cell r="D415" t="str">
            <v>PE Dir Centro Orient</v>
          </cell>
          <cell r="E415" t="str">
            <v>PE Ger P4 Huancay Ch</v>
          </cell>
          <cell r="F415">
            <v>3</v>
          </cell>
          <cell r="G415">
            <v>5</v>
          </cell>
          <cell r="H415">
            <v>8</v>
          </cell>
          <cell r="I415">
            <v>0</v>
          </cell>
          <cell r="J415">
            <v>8</v>
          </cell>
          <cell r="K415">
            <v>8</v>
          </cell>
        </row>
        <row r="416">
          <cell r="A416">
            <v>12770288</v>
          </cell>
          <cell r="B416" t="str">
            <v>'12770288',</v>
          </cell>
          <cell r="C416" t="str">
            <v>EL MUELLECITO</v>
          </cell>
          <cell r="D416" t="str">
            <v>PE Dir Lima</v>
          </cell>
          <cell r="E416" t="str">
            <v>PE Ger P1 Lima Centr</v>
          </cell>
          <cell r="F416">
            <v>2</v>
          </cell>
          <cell r="G416">
            <v>2</v>
          </cell>
          <cell r="H416">
            <v>4</v>
          </cell>
          <cell r="I416">
            <v>0</v>
          </cell>
          <cell r="J416">
            <v>3</v>
          </cell>
          <cell r="K416">
            <v>3</v>
          </cell>
        </row>
        <row r="417">
          <cell r="A417">
            <v>11668479</v>
          </cell>
          <cell r="B417" t="str">
            <v>'11668479',</v>
          </cell>
          <cell r="C417" t="str">
            <v>CUTO 16</v>
          </cell>
          <cell r="D417" t="str">
            <v>PE Dir Lima</v>
          </cell>
          <cell r="E417" t="str">
            <v>PE Ger P1 Lima Oeste</v>
          </cell>
          <cell r="F417">
            <v>0</v>
          </cell>
          <cell r="G417">
            <v>4</v>
          </cell>
          <cell r="H417">
            <v>4</v>
          </cell>
          <cell r="I417">
            <v>0</v>
          </cell>
          <cell r="J417">
            <v>4</v>
          </cell>
          <cell r="K417">
            <v>4</v>
          </cell>
        </row>
        <row r="418">
          <cell r="A418">
            <v>14194842</v>
          </cell>
          <cell r="B418" t="str">
            <v>'14194842',</v>
          </cell>
          <cell r="C418" t="str">
            <v>La Gran Pesca de Beto</v>
          </cell>
          <cell r="D418" t="str">
            <v>PE Dir Lima</v>
          </cell>
          <cell r="E418" t="str">
            <v>PE Ger P1 Lima Norte</v>
          </cell>
          <cell r="F418">
            <v>1</v>
          </cell>
          <cell r="G418">
            <v>4</v>
          </cell>
          <cell r="H418">
            <v>5</v>
          </cell>
          <cell r="I418">
            <v>0</v>
          </cell>
          <cell r="J418">
            <v>2</v>
          </cell>
          <cell r="K418">
            <v>2</v>
          </cell>
        </row>
        <row r="419">
          <cell r="A419">
            <v>13205783</v>
          </cell>
          <cell r="B419" t="str">
            <v>'13205783',</v>
          </cell>
          <cell r="C419" t="str">
            <v>Sabor Chiclayano</v>
          </cell>
          <cell r="D419" t="str">
            <v>PE Dir Lima</v>
          </cell>
          <cell r="E419" t="str">
            <v>PE Ger P1 Lima Centr</v>
          </cell>
          <cell r="F419">
            <v>0</v>
          </cell>
          <cell r="G419">
            <v>5</v>
          </cell>
          <cell r="H419">
            <v>5</v>
          </cell>
          <cell r="I419">
            <v>0</v>
          </cell>
          <cell r="J419">
            <v>0</v>
          </cell>
          <cell r="K419">
            <v>0</v>
          </cell>
        </row>
        <row r="420">
          <cell r="A420">
            <v>11187084</v>
          </cell>
          <cell r="B420" t="str">
            <v>'11187084',</v>
          </cell>
          <cell r="C420" t="str">
            <v>Cevicheria y restaurante alexanders</v>
          </cell>
          <cell r="D420" t="str">
            <v>PE Dir Sur</v>
          </cell>
          <cell r="E420" t="str">
            <v>PE Ger P3 Tacna</v>
          </cell>
          <cell r="F420">
            <v>0</v>
          </cell>
          <cell r="G420">
            <v>7</v>
          </cell>
          <cell r="H420">
            <v>7</v>
          </cell>
          <cell r="I420">
            <v>0</v>
          </cell>
          <cell r="J420">
            <v>0</v>
          </cell>
          <cell r="K420">
            <v>0</v>
          </cell>
        </row>
        <row r="421">
          <cell r="A421">
            <v>14246342</v>
          </cell>
          <cell r="B421" t="str">
            <v>'14246342',</v>
          </cell>
          <cell r="C421" t="str">
            <v>RESTAURANT DON PRIETO</v>
          </cell>
          <cell r="D421" t="str">
            <v>PE Dir Sur</v>
          </cell>
          <cell r="E421" t="str">
            <v>PE Ger P3 Sur Chico</v>
          </cell>
          <cell r="F421">
            <v>0</v>
          </cell>
          <cell r="G421">
            <v>13</v>
          </cell>
          <cell r="H421">
            <v>13</v>
          </cell>
          <cell r="I421">
            <v>0</v>
          </cell>
          <cell r="J421">
            <v>3</v>
          </cell>
          <cell r="K421">
            <v>3</v>
          </cell>
        </row>
        <row r="422">
          <cell r="A422">
            <v>14266892</v>
          </cell>
          <cell r="B422" t="str">
            <v>'14266892',</v>
          </cell>
          <cell r="C422" t="str">
            <v>8 mares</v>
          </cell>
          <cell r="D422" t="str">
            <v>PE Dir Lima</v>
          </cell>
          <cell r="E422" t="str">
            <v>PE Ger P1 Lima Centr</v>
          </cell>
          <cell r="F422">
            <v>1</v>
          </cell>
          <cell r="G422">
            <v>4</v>
          </cell>
          <cell r="H422">
            <v>5</v>
          </cell>
          <cell r="I422">
            <v>0</v>
          </cell>
          <cell r="J422">
            <v>1</v>
          </cell>
          <cell r="K422">
            <v>1</v>
          </cell>
        </row>
        <row r="423">
          <cell r="A423">
            <v>14335054</v>
          </cell>
          <cell r="B423" t="str">
            <v>'14335054',</v>
          </cell>
          <cell r="C423" t="str">
            <v>Papicarte Brasas</v>
          </cell>
          <cell r="D423" t="str">
            <v>PE Dir Norte</v>
          </cell>
          <cell r="E423" t="str">
            <v>PE Ger P2 Piura</v>
          </cell>
          <cell r="F423">
            <v>2</v>
          </cell>
          <cell r="G423">
            <v>4</v>
          </cell>
          <cell r="H423">
            <v>6</v>
          </cell>
          <cell r="I423">
            <v>0</v>
          </cell>
          <cell r="J423">
            <v>0</v>
          </cell>
          <cell r="K423">
            <v>0</v>
          </cell>
        </row>
        <row r="424">
          <cell r="A424">
            <v>14083459</v>
          </cell>
          <cell r="B424" t="str">
            <v>'14083459',</v>
          </cell>
          <cell r="C424" t="str">
            <v>La pulpina</v>
          </cell>
          <cell r="D424" t="str">
            <v>PE Dir Lima</v>
          </cell>
          <cell r="E424" t="str">
            <v>PE Ger P1 Norte Chi</v>
          </cell>
          <cell r="F424">
            <v>0</v>
          </cell>
          <cell r="G424">
            <v>7</v>
          </cell>
          <cell r="H424">
            <v>7</v>
          </cell>
          <cell r="I424">
            <v>0</v>
          </cell>
          <cell r="J424">
            <v>4</v>
          </cell>
          <cell r="K424">
            <v>4</v>
          </cell>
        </row>
        <row r="425">
          <cell r="A425">
            <v>13044938</v>
          </cell>
          <cell r="B425" t="str">
            <v>'13044938',</v>
          </cell>
          <cell r="C425" t="str">
            <v>Rest.cevicheria Rocovan</v>
          </cell>
          <cell r="D425" t="str">
            <v>PE Dir Norte</v>
          </cell>
          <cell r="E425" t="str">
            <v>PE Ger P2 Piura</v>
          </cell>
          <cell r="F425">
            <v>0</v>
          </cell>
          <cell r="G425">
            <v>3</v>
          </cell>
          <cell r="H425">
            <v>3</v>
          </cell>
          <cell r="I425">
            <v>0</v>
          </cell>
          <cell r="J425">
            <v>12</v>
          </cell>
          <cell r="K425">
            <v>12</v>
          </cell>
        </row>
        <row r="426">
          <cell r="A426">
            <v>14085810</v>
          </cell>
          <cell r="B426" t="str">
            <v>'14085810',</v>
          </cell>
          <cell r="C426" t="str">
            <v>Manos Chotanas</v>
          </cell>
          <cell r="D426" t="str">
            <v>PE Dir Centro Orient</v>
          </cell>
          <cell r="E426" t="str">
            <v>PE Ger P4 Tarapoto</v>
          </cell>
          <cell r="F426">
            <v>0</v>
          </cell>
          <cell r="G426">
            <v>8</v>
          </cell>
          <cell r="H426">
            <v>8</v>
          </cell>
          <cell r="I426">
            <v>0</v>
          </cell>
          <cell r="J426">
            <v>0</v>
          </cell>
          <cell r="K426">
            <v>0</v>
          </cell>
        </row>
        <row r="427">
          <cell r="A427">
            <v>14336422</v>
          </cell>
          <cell r="B427" t="str">
            <v>'14336422',</v>
          </cell>
          <cell r="C427" t="str">
            <v>El Marinero</v>
          </cell>
          <cell r="D427" t="str">
            <v>PE Dir Lima</v>
          </cell>
          <cell r="E427" t="str">
            <v>PE Ger P1 Lima Este</v>
          </cell>
          <cell r="F427">
            <v>2</v>
          </cell>
          <cell r="G427">
            <v>3</v>
          </cell>
          <cell r="H427">
            <v>5</v>
          </cell>
          <cell r="I427">
            <v>0</v>
          </cell>
          <cell r="J427">
            <v>0</v>
          </cell>
          <cell r="K427">
            <v>0</v>
          </cell>
        </row>
        <row r="428">
          <cell r="A428">
            <v>11673456</v>
          </cell>
          <cell r="B428" t="str">
            <v>'11673456',</v>
          </cell>
          <cell r="C428" t="str">
            <v>MANKA MITU</v>
          </cell>
          <cell r="D428" t="str">
            <v>PE Dir Lima</v>
          </cell>
          <cell r="E428" t="str">
            <v>PE Ger P1 Lima Centr</v>
          </cell>
          <cell r="F428">
            <v>0</v>
          </cell>
          <cell r="G428">
            <v>5</v>
          </cell>
          <cell r="H428">
            <v>5</v>
          </cell>
          <cell r="I428">
            <v>0</v>
          </cell>
          <cell r="J428">
            <v>2</v>
          </cell>
          <cell r="K428">
            <v>2</v>
          </cell>
        </row>
        <row r="429">
          <cell r="A429">
            <v>12784908</v>
          </cell>
          <cell r="B429" t="str">
            <v>'12784908',</v>
          </cell>
          <cell r="C429" t="str">
            <v>Cevicheria Restaurant la norteñita</v>
          </cell>
          <cell r="D429" t="str">
            <v>PE Dir Lima</v>
          </cell>
          <cell r="E429" t="str">
            <v>PE Ger P1 Lima Norte</v>
          </cell>
          <cell r="F429">
            <v>1</v>
          </cell>
          <cell r="G429">
            <v>3</v>
          </cell>
          <cell r="H429">
            <v>4</v>
          </cell>
          <cell r="I429">
            <v>0</v>
          </cell>
          <cell r="J429">
            <v>0</v>
          </cell>
          <cell r="K429">
            <v>0</v>
          </cell>
        </row>
        <row r="430">
          <cell r="A430">
            <v>12531617</v>
          </cell>
          <cell r="B430" t="str">
            <v>'12531617',</v>
          </cell>
          <cell r="C430" t="str">
            <v>EL MIRADOR DE LA RIVERA EIRL</v>
          </cell>
          <cell r="D430" t="str">
            <v>PE Dir Lima</v>
          </cell>
          <cell r="E430" t="str">
            <v>PE Ger P1 Lima Oeste</v>
          </cell>
          <cell r="F430">
            <v>0</v>
          </cell>
          <cell r="G430">
            <v>4</v>
          </cell>
          <cell r="H430">
            <v>4</v>
          </cell>
          <cell r="I430">
            <v>0</v>
          </cell>
          <cell r="J430">
            <v>2</v>
          </cell>
          <cell r="K430">
            <v>2</v>
          </cell>
        </row>
        <row r="431">
          <cell r="A431">
            <v>11522686</v>
          </cell>
          <cell r="B431" t="str">
            <v>'11522686',</v>
          </cell>
          <cell r="C431" t="str">
            <v>Fushion Mar</v>
          </cell>
          <cell r="D431" t="str">
            <v>PE Dir Lima</v>
          </cell>
          <cell r="E431" t="str">
            <v>PE Ger P1 Lima Oeste</v>
          </cell>
          <cell r="F431">
            <v>0</v>
          </cell>
          <cell r="G431">
            <v>4</v>
          </cell>
          <cell r="H431">
            <v>4</v>
          </cell>
          <cell r="I431">
            <v>0</v>
          </cell>
          <cell r="J431">
            <v>0</v>
          </cell>
          <cell r="K431">
            <v>0</v>
          </cell>
        </row>
        <row r="432">
          <cell r="A432">
            <v>14321051</v>
          </cell>
          <cell r="B432" t="str">
            <v>'14321051',</v>
          </cell>
          <cell r="C432" t="str">
            <v>BARRA MARETAZO - ALCANFORES</v>
          </cell>
          <cell r="D432" t="str">
            <v>PE Dir Lima</v>
          </cell>
          <cell r="E432" t="str">
            <v>PE Ger P1 Lima Centr</v>
          </cell>
          <cell r="F432">
            <v>0</v>
          </cell>
          <cell r="G432">
            <v>3</v>
          </cell>
          <cell r="H432">
            <v>3</v>
          </cell>
          <cell r="I432">
            <v>0</v>
          </cell>
          <cell r="J432">
            <v>1</v>
          </cell>
          <cell r="K432">
            <v>1</v>
          </cell>
        </row>
        <row r="433">
          <cell r="A433">
            <v>14181329</v>
          </cell>
          <cell r="B433" t="str">
            <v>'14181329',</v>
          </cell>
          <cell r="C433" t="str">
            <v>BARRA MARETAZO - BERLIN</v>
          </cell>
          <cell r="D433" t="str">
            <v>PE Dir Lima</v>
          </cell>
          <cell r="E433" t="str">
            <v>PE Ger P1 Lima Centr</v>
          </cell>
          <cell r="F433">
            <v>0</v>
          </cell>
          <cell r="G433">
            <v>3</v>
          </cell>
          <cell r="H433">
            <v>3</v>
          </cell>
          <cell r="I433">
            <v>1</v>
          </cell>
          <cell r="J433">
            <v>0</v>
          </cell>
          <cell r="K433">
            <v>1</v>
          </cell>
        </row>
        <row r="434">
          <cell r="A434">
            <v>10239080</v>
          </cell>
          <cell r="B434" t="str">
            <v>'10239080',</v>
          </cell>
          <cell r="C434" t="str">
            <v>La Posada del Mirador</v>
          </cell>
          <cell r="D434" t="str">
            <v>PE Dir Lima</v>
          </cell>
          <cell r="E434" t="str">
            <v>PE Ger P1 Lima Sur</v>
          </cell>
          <cell r="F434">
            <v>1</v>
          </cell>
          <cell r="G434">
            <v>2</v>
          </cell>
          <cell r="H434">
            <v>3</v>
          </cell>
          <cell r="I434">
            <v>0</v>
          </cell>
          <cell r="J434">
            <v>0</v>
          </cell>
          <cell r="K434">
            <v>0</v>
          </cell>
        </row>
        <row r="435">
          <cell r="A435">
            <v>14330798</v>
          </cell>
          <cell r="B435" t="str">
            <v>'14330798',</v>
          </cell>
          <cell r="C435" t="str">
            <v>Picanteria Donde Guise</v>
          </cell>
          <cell r="D435" t="str">
            <v>PE Dir Norte</v>
          </cell>
          <cell r="E435" t="str">
            <v>PE Ger P2 Piura</v>
          </cell>
          <cell r="F435">
            <v>0</v>
          </cell>
          <cell r="G435">
            <v>3</v>
          </cell>
          <cell r="H435">
            <v>3</v>
          </cell>
          <cell r="I435">
            <v>0</v>
          </cell>
          <cell r="J435">
            <v>0</v>
          </cell>
          <cell r="K435">
            <v>0</v>
          </cell>
        </row>
        <row r="436">
          <cell r="A436">
            <v>14109902</v>
          </cell>
          <cell r="B436" t="str">
            <v>'14109902',</v>
          </cell>
          <cell r="C436" t="str">
            <v>EL CEVICHON - MIRAFLORES</v>
          </cell>
          <cell r="D436" t="str">
            <v>PE Dir Lima</v>
          </cell>
          <cell r="E436" t="str">
            <v>PE Ger P1 Lima Centr</v>
          </cell>
          <cell r="F436">
            <v>0</v>
          </cell>
          <cell r="G436">
            <v>3</v>
          </cell>
          <cell r="H436">
            <v>3</v>
          </cell>
          <cell r="I436">
            <v>0</v>
          </cell>
          <cell r="J436">
            <v>0</v>
          </cell>
          <cell r="K436">
            <v>0</v>
          </cell>
        </row>
        <row r="437">
          <cell r="A437">
            <v>10880685</v>
          </cell>
          <cell r="B437" t="str">
            <v>'10880685',</v>
          </cell>
          <cell r="C437" t="str">
            <v>10026192400</v>
          </cell>
          <cell r="D437" t="str">
            <v>PE Dir Norte</v>
          </cell>
          <cell r="E437" t="str">
            <v>PE Ger P2 Piura</v>
          </cell>
          <cell r="F437">
            <v>0</v>
          </cell>
          <cell r="G437">
            <v>5</v>
          </cell>
          <cell r="H437">
            <v>5</v>
          </cell>
          <cell r="I437">
            <v>0</v>
          </cell>
          <cell r="J437">
            <v>13</v>
          </cell>
          <cell r="K437">
            <v>13</v>
          </cell>
        </row>
        <row r="438">
          <cell r="A438">
            <v>14323642</v>
          </cell>
          <cell r="B438" t="str">
            <v>'14323642',</v>
          </cell>
          <cell r="C438" t="str">
            <v>Ignacio taberna criolla</v>
          </cell>
          <cell r="D438" t="str">
            <v>PE Dir Lima</v>
          </cell>
          <cell r="E438" t="str">
            <v>PE Ger P1 Lima Sur</v>
          </cell>
          <cell r="F438">
            <v>0</v>
          </cell>
          <cell r="G438">
            <v>3</v>
          </cell>
          <cell r="H438">
            <v>3</v>
          </cell>
          <cell r="I438">
            <v>0</v>
          </cell>
          <cell r="J438">
            <v>1</v>
          </cell>
          <cell r="K438">
            <v>1</v>
          </cell>
        </row>
        <row r="439">
          <cell r="A439">
            <v>12830078</v>
          </cell>
          <cell r="B439" t="str">
            <v>'12830078',</v>
          </cell>
          <cell r="C439" t="str">
            <v>Sol y Sombra Restaurante</v>
          </cell>
          <cell r="D439" t="str">
            <v>PE Dir Norte</v>
          </cell>
          <cell r="E439" t="str">
            <v>PE Ger P2 Chiclay Ca</v>
          </cell>
          <cell r="F439">
            <v>1</v>
          </cell>
          <cell r="G439">
            <v>8</v>
          </cell>
          <cell r="H439">
            <v>9</v>
          </cell>
          <cell r="I439">
            <v>0</v>
          </cell>
          <cell r="J439">
            <v>0</v>
          </cell>
          <cell r="K439">
            <v>0</v>
          </cell>
        </row>
        <row r="440">
          <cell r="A440">
            <v>14086784</v>
          </cell>
          <cell r="B440" t="str">
            <v>'14086784',</v>
          </cell>
          <cell r="C440" t="str">
            <v>Mizu Sky Bar</v>
          </cell>
          <cell r="D440" t="str">
            <v>PE Dir Norte</v>
          </cell>
          <cell r="E440" t="str">
            <v>PE Ger P2 Tumbes T</v>
          </cell>
          <cell r="F440">
            <v>2</v>
          </cell>
          <cell r="G440">
            <v>1</v>
          </cell>
          <cell r="H440">
            <v>3</v>
          </cell>
          <cell r="I440">
            <v>2</v>
          </cell>
          <cell r="J440">
            <v>0</v>
          </cell>
          <cell r="K440">
            <v>2</v>
          </cell>
        </row>
        <row r="441">
          <cell r="A441">
            <v>12795506</v>
          </cell>
          <cell r="B441" t="str">
            <v>'12795506',</v>
          </cell>
          <cell r="C441" t="str">
            <v>Danielita Restaurant Cevicheria</v>
          </cell>
          <cell r="D441" t="str">
            <v>PE Dir Norte</v>
          </cell>
          <cell r="E441" t="str">
            <v>PE Ger P2 Trujillo</v>
          </cell>
          <cell r="F441">
            <v>0</v>
          </cell>
          <cell r="G441">
            <v>2</v>
          </cell>
          <cell r="H441">
            <v>2</v>
          </cell>
          <cell r="I441">
            <v>0</v>
          </cell>
          <cell r="J441">
            <v>0</v>
          </cell>
          <cell r="K441">
            <v>0</v>
          </cell>
        </row>
        <row r="442">
          <cell r="A442">
            <v>14219286</v>
          </cell>
          <cell r="B442" t="str">
            <v>'14219286',</v>
          </cell>
          <cell r="C442" t="str">
            <v>huarike casa blanca</v>
          </cell>
          <cell r="D442" t="str">
            <v>PE Dir Norte</v>
          </cell>
          <cell r="E442" t="str">
            <v>PE Ger P2 Trujillo</v>
          </cell>
          <cell r="F442">
            <v>0</v>
          </cell>
          <cell r="G442">
            <v>2</v>
          </cell>
          <cell r="H442">
            <v>2</v>
          </cell>
          <cell r="I442">
            <v>0</v>
          </cell>
          <cell r="J442">
            <v>6</v>
          </cell>
          <cell r="K442">
            <v>6</v>
          </cell>
        </row>
        <row r="443">
          <cell r="A443">
            <v>10206538</v>
          </cell>
          <cell r="B443" t="str">
            <v>'10206538',</v>
          </cell>
          <cell r="C443" t="str">
            <v>EL SALTO DEL FRAILE</v>
          </cell>
          <cell r="D443" t="str">
            <v>PE Dir Lima</v>
          </cell>
          <cell r="E443" t="str">
            <v>PE Ger P1 Lima Sur</v>
          </cell>
          <cell r="F443">
            <v>0</v>
          </cell>
          <cell r="G443">
            <v>3</v>
          </cell>
          <cell r="H443">
            <v>3</v>
          </cell>
          <cell r="I443">
            <v>0</v>
          </cell>
          <cell r="J443">
            <v>0</v>
          </cell>
          <cell r="K443">
            <v>0</v>
          </cell>
        </row>
        <row r="444">
          <cell r="A444">
            <v>14435235</v>
          </cell>
          <cell r="B444" t="str">
            <v>'14435235',</v>
          </cell>
          <cell r="C444" t="str">
            <v>MERCADO CEVICHERO</v>
          </cell>
          <cell r="D444" t="str">
            <v>PE Dir Lima</v>
          </cell>
          <cell r="E444" t="str">
            <v>PE Ger P1 Lima Este</v>
          </cell>
          <cell r="F444">
            <v>0</v>
          </cell>
          <cell r="G444">
            <v>7</v>
          </cell>
          <cell r="H444">
            <v>7</v>
          </cell>
          <cell r="I444">
            <v>0</v>
          </cell>
          <cell r="J444">
            <v>8</v>
          </cell>
          <cell r="K444">
            <v>8</v>
          </cell>
        </row>
        <row r="445">
          <cell r="A445">
            <v>11794811</v>
          </cell>
          <cell r="B445" t="str">
            <v>'11794811',</v>
          </cell>
          <cell r="C445" t="str">
            <v>El patroncito de huaje</v>
          </cell>
          <cell r="D445" t="str">
            <v>PE Dir Sur</v>
          </cell>
          <cell r="E445" t="str">
            <v>PE Ger P3 Puno</v>
          </cell>
          <cell r="F445">
            <v>1</v>
          </cell>
          <cell r="G445">
            <v>3</v>
          </cell>
          <cell r="H445">
            <v>4</v>
          </cell>
          <cell r="I445">
            <v>0</v>
          </cell>
          <cell r="J445">
            <v>2</v>
          </cell>
          <cell r="K445">
            <v>2</v>
          </cell>
        </row>
        <row r="446">
          <cell r="A446">
            <v>11341087</v>
          </cell>
          <cell r="B446" t="str">
            <v>'11341087',</v>
          </cell>
          <cell r="C446" t="str">
            <v>Cebicheria Geminis</v>
          </cell>
          <cell r="D446" t="str">
            <v>PE Dir Lima</v>
          </cell>
          <cell r="E446" t="str">
            <v>PE Ger P1 Lima Oeste</v>
          </cell>
          <cell r="F446">
            <v>2</v>
          </cell>
          <cell r="G446">
            <v>1</v>
          </cell>
          <cell r="H446">
            <v>3</v>
          </cell>
          <cell r="I446">
            <v>0</v>
          </cell>
          <cell r="J446">
            <v>4</v>
          </cell>
          <cell r="K446">
            <v>4</v>
          </cell>
        </row>
        <row r="447">
          <cell r="A447">
            <v>14488045</v>
          </cell>
          <cell r="B447" t="str">
            <v>'14488045',</v>
          </cell>
          <cell r="C447" t="str">
            <v>Venezia restaurante</v>
          </cell>
          <cell r="D447" t="str">
            <v>PE Dir Norte</v>
          </cell>
          <cell r="E447" t="str">
            <v>PE Ger P2 Tumbes T</v>
          </cell>
          <cell r="F447">
            <v>1</v>
          </cell>
          <cell r="G447">
            <v>6</v>
          </cell>
          <cell r="H447">
            <v>7</v>
          </cell>
          <cell r="I447">
            <v>0</v>
          </cell>
          <cell r="J447">
            <v>0</v>
          </cell>
          <cell r="K447">
            <v>0</v>
          </cell>
        </row>
        <row r="448">
          <cell r="A448">
            <v>10511055</v>
          </cell>
          <cell r="B448" t="str">
            <v>'10511055',</v>
          </cell>
          <cell r="C448" t="str">
            <v>Don Máximo</v>
          </cell>
          <cell r="D448" t="str">
            <v>PE Dir Norte</v>
          </cell>
          <cell r="E448" t="str">
            <v>PE Ger P2 Tumbes T</v>
          </cell>
          <cell r="F448">
            <v>0</v>
          </cell>
          <cell r="G448">
            <v>8</v>
          </cell>
          <cell r="H448">
            <v>8</v>
          </cell>
          <cell r="I448">
            <v>0</v>
          </cell>
          <cell r="J448">
            <v>0</v>
          </cell>
          <cell r="K448">
            <v>0</v>
          </cell>
        </row>
        <row r="449">
          <cell r="A449">
            <v>12887623</v>
          </cell>
          <cell r="B449" t="str">
            <v>'12887623',</v>
          </cell>
          <cell r="C449" t="str">
            <v>El Gran Muelle</v>
          </cell>
          <cell r="D449" t="str">
            <v>PE Dir Lima</v>
          </cell>
          <cell r="E449" t="str">
            <v>PE Ger P1 Lima Centr</v>
          </cell>
          <cell r="F449">
            <v>0</v>
          </cell>
          <cell r="G449">
            <v>4</v>
          </cell>
          <cell r="H449">
            <v>4</v>
          </cell>
          <cell r="I449">
            <v>0</v>
          </cell>
          <cell r="J449">
            <v>0</v>
          </cell>
          <cell r="K449">
            <v>0</v>
          </cell>
        </row>
        <row r="450">
          <cell r="A450">
            <v>10018311</v>
          </cell>
          <cell r="B450" t="str">
            <v>'10018311',</v>
          </cell>
          <cell r="C450" t="str">
            <v>Si señor</v>
          </cell>
          <cell r="D450" t="str">
            <v>PE Dir Norte</v>
          </cell>
          <cell r="E450" t="str">
            <v>PE Ger P2 Tumbes T</v>
          </cell>
          <cell r="F450">
            <v>0</v>
          </cell>
          <cell r="G450">
            <v>4</v>
          </cell>
          <cell r="H450">
            <v>4</v>
          </cell>
          <cell r="I450">
            <v>0</v>
          </cell>
          <cell r="J450">
            <v>0</v>
          </cell>
          <cell r="K450">
            <v>0</v>
          </cell>
        </row>
        <row r="451">
          <cell r="A451">
            <v>14246103</v>
          </cell>
          <cell r="B451" t="str">
            <v>'14246103',</v>
          </cell>
          <cell r="C451" t="str">
            <v>EL PULPO NORTEÑO</v>
          </cell>
          <cell r="D451" t="str">
            <v>PE Dir Lima</v>
          </cell>
          <cell r="E451" t="str">
            <v>PE Ger P1 Lima Este</v>
          </cell>
          <cell r="F451">
            <v>1</v>
          </cell>
          <cell r="G451">
            <v>4</v>
          </cell>
          <cell r="H451">
            <v>5</v>
          </cell>
          <cell r="I451">
            <v>0</v>
          </cell>
          <cell r="J451">
            <v>6</v>
          </cell>
          <cell r="K451">
            <v>6</v>
          </cell>
        </row>
        <row r="452">
          <cell r="A452">
            <v>12709100</v>
          </cell>
          <cell r="B452" t="str">
            <v>'12709100',</v>
          </cell>
          <cell r="C452" t="str">
            <v>El Otro Gramadal</v>
          </cell>
          <cell r="D452" t="str">
            <v>PE Dir Lima</v>
          </cell>
          <cell r="E452" t="str">
            <v>PE Ger P1 Lima Centr</v>
          </cell>
          <cell r="F452">
            <v>0</v>
          </cell>
          <cell r="G452">
            <v>3</v>
          </cell>
          <cell r="H452">
            <v>3</v>
          </cell>
          <cell r="I452">
            <v>0</v>
          </cell>
          <cell r="J452">
            <v>0</v>
          </cell>
          <cell r="K452">
            <v>0</v>
          </cell>
        </row>
        <row r="453">
          <cell r="A453">
            <v>12769572</v>
          </cell>
          <cell r="B453" t="str">
            <v>'12769572',</v>
          </cell>
          <cell r="C453" t="str">
            <v>Orillas</v>
          </cell>
          <cell r="D453" t="str">
            <v>PE Dir Sur</v>
          </cell>
          <cell r="E453" t="str">
            <v>PE Ger P3 Arequipa</v>
          </cell>
          <cell r="F453">
            <v>0</v>
          </cell>
          <cell r="G453">
            <v>6</v>
          </cell>
          <cell r="H453">
            <v>6</v>
          </cell>
          <cell r="I453">
            <v>0</v>
          </cell>
          <cell r="J453">
            <v>0</v>
          </cell>
          <cell r="K453">
            <v>0</v>
          </cell>
        </row>
        <row r="454">
          <cell r="A454">
            <v>14358464</v>
          </cell>
          <cell r="B454" t="str">
            <v>'14358464',</v>
          </cell>
          <cell r="C454" t="str">
            <v>El Silulo</v>
          </cell>
          <cell r="D454" t="str">
            <v>PE Dir Lima</v>
          </cell>
          <cell r="E454" t="str">
            <v>PE Ger P1 Lima Sur</v>
          </cell>
          <cell r="F454">
            <v>0</v>
          </cell>
          <cell r="G454">
            <v>7</v>
          </cell>
          <cell r="H454">
            <v>7</v>
          </cell>
          <cell r="I454">
            <v>0</v>
          </cell>
          <cell r="J454">
            <v>0</v>
          </cell>
          <cell r="K454">
            <v>0</v>
          </cell>
        </row>
        <row r="455">
          <cell r="A455">
            <v>10096306</v>
          </cell>
          <cell r="B455" t="str">
            <v>'10096306',</v>
          </cell>
          <cell r="C455" t="str">
            <v>Casa Blanca</v>
          </cell>
          <cell r="D455" t="str">
            <v>PE Dir Sur</v>
          </cell>
          <cell r="E455" t="str">
            <v>PE Ger P3 Puno</v>
          </cell>
          <cell r="F455">
            <v>0</v>
          </cell>
          <cell r="G455">
            <v>5</v>
          </cell>
          <cell r="H455">
            <v>5</v>
          </cell>
          <cell r="I455">
            <v>0</v>
          </cell>
          <cell r="J455">
            <v>2</v>
          </cell>
          <cell r="K455">
            <v>2</v>
          </cell>
        </row>
        <row r="456">
          <cell r="A456">
            <v>13815897</v>
          </cell>
          <cell r="B456" t="str">
            <v>'13815897',</v>
          </cell>
          <cell r="C456" t="str">
            <v>Mercado 1980</v>
          </cell>
          <cell r="D456" t="str">
            <v>PE Dir Norte</v>
          </cell>
          <cell r="E456" t="str">
            <v>PE Ger P2 Piura</v>
          </cell>
          <cell r="F456">
            <v>0</v>
          </cell>
          <cell r="G456">
            <v>2</v>
          </cell>
          <cell r="H456">
            <v>2</v>
          </cell>
          <cell r="I456">
            <v>0</v>
          </cell>
          <cell r="J456">
            <v>0</v>
          </cell>
          <cell r="K456">
            <v>0</v>
          </cell>
        </row>
        <row r="457">
          <cell r="A457">
            <v>10168483</v>
          </cell>
          <cell r="B457" t="str">
            <v>'10168483',</v>
          </cell>
          <cell r="C457" t="str">
            <v>TUMBES MAR</v>
          </cell>
          <cell r="D457" t="str">
            <v>PE Dir Lima</v>
          </cell>
          <cell r="E457" t="str">
            <v>PE Ger P1 Lima Este</v>
          </cell>
          <cell r="F457">
            <v>1</v>
          </cell>
          <cell r="G457">
            <v>2</v>
          </cell>
          <cell r="H457">
            <v>3</v>
          </cell>
          <cell r="I457">
            <v>4</v>
          </cell>
          <cell r="J457">
            <v>2</v>
          </cell>
          <cell r="K457">
            <v>6</v>
          </cell>
        </row>
        <row r="458">
          <cell r="A458">
            <v>10206926</v>
          </cell>
          <cell r="B458" t="str">
            <v>'10206926',</v>
          </cell>
          <cell r="C458" t="str">
            <v>El Tizon de Surco</v>
          </cell>
          <cell r="D458" t="str">
            <v>PE Dir Lima</v>
          </cell>
          <cell r="E458" t="str">
            <v>PE Ger P1 Lima Sur</v>
          </cell>
          <cell r="F458">
            <v>0</v>
          </cell>
          <cell r="G458">
            <v>4</v>
          </cell>
          <cell r="H458">
            <v>4</v>
          </cell>
          <cell r="I458">
            <v>0</v>
          </cell>
          <cell r="J458">
            <v>2</v>
          </cell>
          <cell r="K458">
            <v>2</v>
          </cell>
        </row>
        <row r="459">
          <cell r="A459">
            <v>14463256</v>
          </cell>
          <cell r="B459" t="str">
            <v>'14463256',</v>
          </cell>
          <cell r="C459" t="str">
            <v>La Molina</v>
          </cell>
          <cell r="D459" t="str">
            <v>PE Dir Lima</v>
          </cell>
          <cell r="E459" t="str">
            <v>PE Ger P1 Lima Este</v>
          </cell>
          <cell r="F459">
            <v>0</v>
          </cell>
          <cell r="G459">
            <v>7</v>
          </cell>
          <cell r="H459">
            <v>7</v>
          </cell>
          <cell r="I459">
            <v>0</v>
          </cell>
          <cell r="J459">
            <v>2</v>
          </cell>
          <cell r="K459">
            <v>2</v>
          </cell>
        </row>
        <row r="460">
          <cell r="A460">
            <v>13992848</v>
          </cell>
          <cell r="B460" t="str">
            <v>'13992848',</v>
          </cell>
          <cell r="C460" t="str">
            <v>Puerto Escondido Marisquería Restobar</v>
          </cell>
          <cell r="D460" t="str">
            <v>PE Dir Sur</v>
          </cell>
          <cell r="E460" t="str">
            <v>PE Ger P3 Ayacucho</v>
          </cell>
          <cell r="F460">
            <v>2</v>
          </cell>
          <cell r="G460">
            <v>1</v>
          </cell>
          <cell r="H460">
            <v>3</v>
          </cell>
          <cell r="I460">
            <v>0</v>
          </cell>
          <cell r="J460">
            <v>0</v>
          </cell>
          <cell r="K460">
            <v>0</v>
          </cell>
        </row>
        <row r="461">
          <cell r="A461">
            <v>14391253</v>
          </cell>
          <cell r="B461" t="str">
            <v>'14391253',</v>
          </cell>
          <cell r="C461" t="str">
            <v>El 13 Anticucheria</v>
          </cell>
          <cell r="D461" t="str">
            <v>PE Dir Lima</v>
          </cell>
          <cell r="E461" t="str">
            <v>PE Ger P1 Lima Sur</v>
          </cell>
          <cell r="F461">
            <v>2</v>
          </cell>
          <cell r="G461">
            <v>6</v>
          </cell>
          <cell r="H461">
            <v>8</v>
          </cell>
          <cell r="I461">
            <v>0</v>
          </cell>
          <cell r="J461">
            <v>2</v>
          </cell>
          <cell r="K461">
            <v>2</v>
          </cell>
        </row>
        <row r="462">
          <cell r="A462">
            <v>10816405</v>
          </cell>
          <cell r="B462" t="str">
            <v>'10816405',</v>
          </cell>
          <cell r="C462" t="str">
            <v>El Chef Paul</v>
          </cell>
          <cell r="D462" t="str">
            <v>PE Dir Lima</v>
          </cell>
          <cell r="E462" t="str">
            <v>PE Ger P1 Lima Centr</v>
          </cell>
          <cell r="F462">
            <v>0</v>
          </cell>
          <cell r="G462">
            <v>4</v>
          </cell>
          <cell r="H462">
            <v>4</v>
          </cell>
          <cell r="I462">
            <v>0</v>
          </cell>
          <cell r="J462">
            <v>3</v>
          </cell>
          <cell r="K462">
            <v>3</v>
          </cell>
        </row>
        <row r="463">
          <cell r="A463">
            <v>14382266</v>
          </cell>
          <cell r="B463" t="str">
            <v>'14382266',</v>
          </cell>
          <cell r="C463" t="str">
            <v>Ola pez</v>
          </cell>
          <cell r="D463" t="str">
            <v>PE Dir Lima</v>
          </cell>
          <cell r="E463" t="str">
            <v>PE Ger P1 Lima Norte</v>
          </cell>
          <cell r="F463">
            <v>0</v>
          </cell>
          <cell r="G463">
            <v>8</v>
          </cell>
          <cell r="H463">
            <v>8</v>
          </cell>
          <cell r="I463">
            <v>0</v>
          </cell>
          <cell r="J463">
            <v>2</v>
          </cell>
          <cell r="K463">
            <v>2</v>
          </cell>
        </row>
        <row r="464">
          <cell r="A464">
            <v>14482734</v>
          </cell>
          <cell r="B464" t="str">
            <v>'14482734',</v>
          </cell>
          <cell r="C464" t="str">
            <v>Rincon del jet</v>
          </cell>
          <cell r="D464" t="str">
            <v>PE Dir Lima</v>
          </cell>
          <cell r="E464" t="str">
            <v>PE Ger P1 Lima Oeste</v>
          </cell>
          <cell r="F464">
            <v>0</v>
          </cell>
          <cell r="G464">
            <v>3</v>
          </cell>
          <cell r="H464">
            <v>3</v>
          </cell>
          <cell r="I464">
            <v>0</v>
          </cell>
          <cell r="J464">
            <v>2</v>
          </cell>
          <cell r="K464">
            <v>2</v>
          </cell>
        </row>
        <row r="465">
          <cell r="A465">
            <v>10065597</v>
          </cell>
          <cell r="B465" t="str">
            <v>'10065597',</v>
          </cell>
          <cell r="C465" t="str">
            <v>El Paisa</v>
          </cell>
          <cell r="D465" t="str">
            <v>PE Dir Norte</v>
          </cell>
          <cell r="E465" t="str">
            <v>PE Ger P2 Trujillo</v>
          </cell>
          <cell r="F465">
            <v>2</v>
          </cell>
          <cell r="G465">
            <v>0</v>
          </cell>
          <cell r="H465">
            <v>2</v>
          </cell>
          <cell r="I465">
            <v>0</v>
          </cell>
          <cell r="J465">
            <v>0</v>
          </cell>
          <cell r="K465">
            <v>0</v>
          </cell>
        </row>
        <row r="466">
          <cell r="A466">
            <v>10063453</v>
          </cell>
          <cell r="B466" t="str">
            <v>'10063453',</v>
          </cell>
          <cell r="C466" t="str">
            <v>Restaurante Rosita de Laredo</v>
          </cell>
          <cell r="D466" t="str">
            <v>PE Dir Norte</v>
          </cell>
          <cell r="E466" t="str">
            <v>PE Ger P2 Trujillo</v>
          </cell>
          <cell r="F466">
            <v>2</v>
          </cell>
          <cell r="G466">
            <v>0</v>
          </cell>
          <cell r="H466">
            <v>2</v>
          </cell>
          <cell r="I466">
            <v>0</v>
          </cell>
          <cell r="J466">
            <v>0</v>
          </cell>
          <cell r="K466">
            <v>0</v>
          </cell>
        </row>
        <row r="467">
          <cell r="A467">
            <v>13770376</v>
          </cell>
          <cell r="B467" t="str">
            <v>'13770376',</v>
          </cell>
          <cell r="C467" t="str">
            <v>Rancho Viejo</v>
          </cell>
          <cell r="D467" t="str">
            <v>PE Dir Lima</v>
          </cell>
          <cell r="E467" t="str">
            <v>PE Ger P1 Lima Centr</v>
          </cell>
          <cell r="F467">
            <v>1</v>
          </cell>
          <cell r="G467">
            <v>2</v>
          </cell>
          <cell r="H467">
            <v>3</v>
          </cell>
          <cell r="I467">
            <v>0</v>
          </cell>
          <cell r="J467">
            <v>1</v>
          </cell>
          <cell r="K467">
            <v>1</v>
          </cell>
        </row>
        <row r="468">
          <cell r="A468">
            <v>14073760</v>
          </cell>
          <cell r="B468" t="str">
            <v>'14073760',</v>
          </cell>
          <cell r="C468" t="str">
            <v>EL TARWI - LA VICTORIA</v>
          </cell>
          <cell r="D468" t="str">
            <v>PE Dir Lima</v>
          </cell>
          <cell r="E468" t="str">
            <v>PE Ger P1 Lima Este</v>
          </cell>
          <cell r="F468">
            <v>0</v>
          </cell>
          <cell r="G468">
            <v>3</v>
          </cell>
          <cell r="H468">
            <v>3</v>
          </cell>
          <cell r="I468">
            <v>0</v>
          </cell>
          <cell r="J468">
            <v>2</v>
          </cell>
          <cell r="K468">
            <v>2</v>
          </cell>
        </row>
        <row r="469">
          <cell r="A469">
            <v>13189429</v>
          </cell>
          <cell r="B469" t="str">
            <v>'13189429',</v>
          </cell>
          <cell r="C469" t="str">
            <v>La Quinta Diaz</v>
          </cell>
          <cell r="D469" t="str">
            <v>PE Dir Lima</v>
          </cell>
          <cell r="E469" t="str">
            <v>PE Ger P1 Norte Chi</v>
          </cell>
          <cell r="F469">
            <v>0</v>
          </cell>
          <cell r="G469">
            <v>4</v>
          </cell>
          <cell r="H469">
            <v>4</v>
          </cell>
          <cell r="I469">
            <v>0</v>
          </cell>
          <cell r="J469">
            <v>8</v>
          </cell>
          <cell r="K469">
            <v>8</v>
          </cell>
        </row>
        <row r="470">
          <cell r="A470">
            <v>14246109</v>
          </cell>
          <cell r="B470" t="str">
            <v>'14246109',</v>
          </cell>
          <cell r="C470" t="str">
            <v>Cevicheria Sol del Norte</v>
          </cell>
          <cell r="D470" t="str">
            <v>PE Dir Lima</v>
          </cell>
          <cell r="E470" t="str">
            <v>PE Ger P1 Lima Sur</v>
          </cell>
          <cell r="F470">
            <v>0</v>
          </cell>
          <cell r="G470">
            <v>4</v>
          </cell>
          <cell r="H470">
            <v>4</v>
          </cell>
          <cell r="I470">
            <v>0</v>
          </cell>
          <cell r="J470">
            <v>4</v>
          </cell>
          <cell r="K470">
            <v>4</v>
          </cell>
        </row>
        <row r="471">
          <cell r="A471">
            <v>13796965</v>
          </cell>
          <cell r="B471" t="str">
            <v>'13796965',</v>
          </cell>
          <cell r="C471" t="str">
            <v>CEVICIHERIA VIKTOR</v>
          </cell>
          <cell r="D471" t="str">
            <v>PE Dir Lima</v>
          </cell>
          <cell r="E471" t="str">
            <v>PE Ger P1 Lima Sur</v>
          </cell>
          <cell r="F471">
            <v>0</v>
          </cell>
          <cell r="G471">
            <v>3</v>
          </cell>
          <cell r="H471">
            <v>3</v>
          </cell>
          <cell r="I471">
            <v>0</v>
          </cell>
          <cell r="J471">
            <v>7</v>
          </cell>
          <cell r="K471">
            <v>7</v>
          </cell>
        </row>
        <row r="472">
          <cell r="A472">
            <v>13179780</v>
          </cell>
          <cell r="B472" t="str">
            <v>'13179780',</v>
          </cell>
          <cell r="C472" t="str">
            <v>Cevicheria huaira</v>
          </cell>
          <cell r="D472" t="str">
            <v>PE Dir Lima</v>
          </cell>
          <cell r="E472" t="str">
            <v>PE Ger P1 Lima Norte</v>
          </cell>
          <cell r="F472">
            <v>0</v>
          </cell>
          <cell r="G472">
            <v>3</v>
          </cell>
          <cell r="H472">
            <v>3</v>
          </cell>
          <cell r="I472">
            <v>0</v>
          </cell>
          <cell r="J472">
            <v>0</v>
          </cell>
          <cell r="K472">
            <v>0</v>
          </cell>
        </row>
        <row r="473">
          <cell r="A473">
            <v>12137058</v>
          </cell>
          <cell r="B473" t="str">
            <v>'12137058',</v>
          </cell>
          <cell r="C473" t="str">
            <v>OTANI</v>
          </cell>
          <cell r="D473" t="str">
            <v>PE Dir Lima</v>
          </cell>
          <cell r="E473" t="str">
            <v>PE Ger P1 Lima Este</v>
          </cell>
          <cell r="F473">
            <v>0</v>
          </cell>
          <cell r="G473">
            <v>3</v>
          </cell>
          <cell r="H473">
            <v>3</v>
          </cell>
          <cell r="I473">
            <v>0</v>
          </cell>
          <cell r="J473">
            <v>0</v>
          </cell>
          <cell r="K473">
            <v>0</v>
          </cell>
        </row>
        <row r="474">
          <cell r="A474">
            <v>14462357</v>
          </cell>
          <cell r="B474" t="str">
            <v>'14462357',</v>
          </cell>
          <cell r="C474" t="str">
            <v>Silulo</v>
          </cell>
          <cell r="D474" t="str">
            <v>PE Dir Lima</v>
          </cell>
          <cell r="E474" t="str">
            <v>PE Ger P1 Lima Norte</v>
          </cell>
          <cell r="F474">
            <v>0</v>
          </cell>
          <cell r="G474">
            <v>3</v>
          </cell>
          <cell r="H474">
            <v>3</v>
          </cell>
          <cell r="I474">
            <v>0</v>
          </cell>
          <cell r="J474">
            <v>0</v>
          </cell>
          <cell r="K474">
            <v>0</v>
          </cell>
        </row>
        <row r="475">
          <cell r="A475">
            <v>14462764</v>
          </cell>
          <cell r="B475" t="str">
            <v>'14462764',</v>
          </cell>
          <cell r="C475" t="str">
            <v>El Gran Combo</v>
          </cell>
          <cell r="D475" t="str">
            <v>PE Dir Norte</v>
          </cell>
          <cell r="E475" t="str">
            <v>PE Ger P2 Chiclay Ca</v>
          </cell>
          <cell r="F475">
            <v>0</v>
          </cell>
          <cell r="G475">
            <v>6</v>
          </cell>
          <cell r="H475">
            <v>6</v>
          </cell>
          <cell r="I475">
            <v>0</v>
          </cell>
          <cell r="J475">
            <v>4</v>
          </cell>
          <cell r="K475">
            <v>4</v>
          </cell>
        </row>
        <row r="476">
          <cell r="A476">
            <v>11509872</v>
          </cell>
          <cell r="B476" t="str">
            <v>'11509872',</v>
          </cell>
          <cell r="C476" t="str">
            <v>piscis trapiche</v>
          </cell>
          <cell r="D476" t="str">
            <v>PE Dir Lima</v>
          </cell>
          <cell r="E476" t="str">
            <v>PE Ger P1 Lima Norte</v>
          </cell>
          <cell r="F476">
            <v>0</v>
          </cell>
          <cell r="G476">
            <v>3</v>
          </cell>
          <cell r="H476">
            <v>3</v>
          </cell>
          <cell r="I476">
            <v>0</v>
          </cell>
          <cell r="J476">
            <v>0</v>
          </cell>
          <cell r="K476">
            <v>0</v>
          </cell>
        </row>
        <row r="477">
          <cell r="A477">
            <v>11625938</v>
          </cell>
          <cell r="B477" t="str">
            <v>'11625938',</v>
          </cell>
          <cell r="C477" t="str">
            <v>Hotel route 66</v>
          </cell>
          <cell r="D477" t="str">
            <v>PE Dir Norte</v>
          </cell>
          <cell r="E477" t="str">
            <v>PE Ger P2 Tumbes T</v>
          </cell>
          <cell r="F477">
            <v>2</v>
          </cell>
          <cell r="G477">
            <v>1</v>
          </cell>
          <cell r="H477">
            <v>3</v>
          </cell>
          <cell r="I477">
            <v>0</v>
          </cell>
          <cell r="J477">
            <v>0</v>
          </cell>
          <cell r="K477">
            <v>0</v>
          </cell>
        </row>
        <row r="478">
          <cell r="A478">
            <v>14048651</v>
          </cell>
          <cell r="B478" t="str">
            <v>'14048651',</v>
          </cell>
          <cell r="C478" t="str">
            <v>La pasadita las gemelas</v>
          </cell>
          <cell r="D478" t="str">
            <v>PE Dir Norte</v>
          </cell>
          <cell r="E478" t="str">
            <v>PE Ger P2 Piura</v>
          </cell>
          <cell r="F478">
            <v>1</v>
          </cell>
          <cell r="G478">
            <v>6</v>
          </cell>
          <cell r="H478">
            <v>7</v>
          </cell>
          <cell r="I478">
            <v>0</v>
          </cell>
          <cell r="J478">
            <v>3</v>
          </cell>
          <cell r="K478">
            <v>3</v>
          </cell>
        </row>
        <row r="479">
          <cell r="A479">
            <v>10226546</v>
          </cell>
          <cell r="B479" t="str">
            <v>'10226546',</v>
          </cell>
          <cell r="C479" t="str">
            <v>El arrecife</v>
          </cell>
          <cell r="D479" t="str">
            <v>PE Dir Lima</v>
          </cell>
          <cell r="E479" t="str">
            <v>PE Ger P1 Lima Norte</v>
          </cell>
          <cell r="F479">
            <v>0</v>
          </cell>
          <cell r="G479">
            <v>3</v>
          </cell>
          <cell r="H479">
            <v>3</v>
          </cell>
          <cell r="I479">
            <v>0</v>
          </cell>
          <cell r="J479">
            <v>2</v>
          </cell>
          <cell r="K479">
            <v>2</v>
          </cell>
        </row>
        <row r="480">
          <cell r="A480">
            <v>12717051</v>
          </cell>
          <cell r="B480" t="str">
            <v>'12717051',</v>
          </cell>
          <cell r="C480" t="str">
            <v>La Choza del Huambrillo</v>
          </cell>
          <cell r="D480" t="str">
            <v>PE Dir Lima</v>
          </cell>
          <cell r="E480" t="str">
            <v>PE Ger P1 Lima Centr</v>
          </cell>
          <cell r="F480">
            <v>0</v>
          </cell>
          <cell r="G480">
            <v>3</v>
          </cell>
          <cell r="H480">
            <v>3</v>
          </cell>
          <cell r="I480">
            <v>0</v>
          </cell>
          <cell r="J480">
            <v>0</v>
          </cell>
          <cell r="K480">
            <v>0</v>
          </cell>
        </row>
        <row r="481">
          <cell r="A481">
            <v>11252215</v>
          </cell>
          <cell r="B481" t="str">
            <v>'11252215',</v>
          </cell>
          <cell r="C481" t="str">
            <v>Donde Brissas</v>
          </cell>
          <cell r="D481" t="str">
            <v>PE Dir Sur</v>
          </cell>
          <cell r="E481" t="str">
            <v>PE Ger P3 Ayacucho</v>
          </cell>
          <cell r="F481">
            <v>0</v>
          </cell>
          <cell r="G481">
            <v>4</v>
          </cell>
          <cell r="H481">
            <v>4</v>
          </cell>
          <cell r="I481">
            <v>0</v>
          </cell>
          <cell r="J481">
            <v>0</v>
          </cell>
          <cell r="K481">
            <v>0</v>
          </cell>
        </row>
        <row r="482">
          <cell r="A482">
            <v>11436453</v>
          </cell>
          <cell r="B482" t="str">
            <v>'11436453',</v>
          </cell>
          <cell r="C482" t="str">
            <v>Restaurant Turistico La Tia Ishanga</v>
          </cell>
          <cell r="D482" t="str">
            <v>PE Dir Lima</v>
          </cell>
          <cell r="E482" t="str">
            <v>PE Ger P1 Lima Centr</v>
          </cell>
          <cell r="F482">
            <v>0</v>
          </cell>
          <cell r="G482">
            <v>7</v>
          </cell>
          <cell r="H482">
            <v>7</v>
          </cell>
          <cell r="I482">
            <v>1</v>
          </cell>
          <cell r="J482">
            <v>8</v>
          </cell>
          <cell r="K482">
            <v>9</v>
          </cell>
        </row>
        <row r="483">
          <cell r="A483">
            <v>11661899</v>
          </cell>
          <cell r="B483" t="str">
            <v>'11661899',</v>
          </cell>
          <cell r="C483" t="str">
            <v>Calamardos</v>
          </cell>
          <cell r="D483" t="str">
            <v>PE Dir Lima</v>
          </cell>
          <cell r="E483" t="str">
            <v>PE Ger P1 Norte Chi</v>
          </cell>
          <cell r="F483">
            <v>1</v>
          </cell>
          <cell r="G483">
            <v>1</v>
          </cell>
          <cell r="H483">
            <v>2</v>
          </cell>
          <cell r="I483">
            <v>0</v>
          </cell>
          <cell r="J483">
            <v>2</v>
          </cell>
          <cell r="K483">
            <v>2</v>
          </cell>
        </row>
        <row r="484">
          <cell r="A484">
            <v>10167558</v>
          </cell>
          <cell r="B484" t="str">
            <v>'10167558',</v>
          </cell>
          <cell r="C484" t="str">
            <v>EL TARWI - JESUS MARIA</v>
          </cell>
          <cell r="D484" t="str">
            <v>PE Dir Lima</v>
          </cell>
          <cell r="E484" t="str">
            <v>PE Ger P1 Lima Centr</v>
          </cell>
          <cell r="F484">
            <v>1</v>
          </cell>
          <cell r="G484">
            <v>3</v>
          </cell>
          <cell r="H484">
            <v>4</v>
          </cell>
          <cell r="I484">
            <v>1</v>
          </cell>
          <cell r="J484">
            <v>1</v>
          </cell>
          <cell r="K484">
            <v>2</v>
          </cell>
        </row>
        <row r="485">
          <cell r="A485">
            <v>10138594</v>
          </cell>
          <cell r="B485" t="str">
            <v>'10138594',</v>
          </cell>
          <cell r="C485" t="str">
            <v>La choza de la abuelita 1</v>
          </cell>
          <cell r="D485" t="str">
            <v>PE Dir Centro Orient</v>
          </cell>
          <cell r="E485" t="str">
            <v>PE Ger P4 Pucall Hco</v>
          </cell>
          <cell r="F485">
            <v>0</v>
          </cell>
          <cell r="G485">
            <v>3</v>
          </cell>
          <cell r="H485">
            <v>3</v>
          </cell>
          <cell r="I485">
            <v>0</v>
          </cell>
          <cell r="J485">
            <v>1</v>
          </cell>
          <cell r="K485">
            <v>1</v>
          </cell>
        </row>
        <row r="486">
          <cell r="A486">
            <v>14300975</v>
          </cell>
          <cell r="B486" t="str">
            <v>'14300975',</v>
          </cell>
          <cell r="C486" t="str">
            <v>Pepe Cangrejo</v>
          </cell>
          <cell r="D486" t="str">
            <v>PE Dir Lima</v>
          </cell>
          <cell r="E486" t="str">
            <v>PE Ger P1 Lima Norte</v>
          </cell>
          <cell r="F486">
            <v>2</v>
          </cell>
          <cell r="G486">
            <v>1</v>
          </cell>
          <cell r="H486">
            <v>3</v>
          </cell>
          <cell r="I486">
            <v>0</v>
          </cell>
          <cell r="J486">
            <v>0</v>
          </cell>
          <cell r="K486">
            <v>0</v>
          </cell>
        </row>
        <row r="487">
          <cell r="A487">
            <v>11678974</v>
          </cell>
          <cell r="B487" t="str">
            <v>'11678974',</v>
          </cell>
          <cell r="C487" t="str">
            <v>MERLIN - LOS JARDINES</v>
          </cell>
          <cell r="D487" t="str">
            <v>PE Dir Lima</v>
          </cell>
          <cell r="E487" t="str">
            <v>PE Ger P1 Lima Centr</v>
          </cell>
          <cell r="F487">
            <v>0</v>
          </cell>
          <cell r="G487">
            <v>3</v>
          </cell>
          <cell r="H487">
            <v>3</v>
          </cell>
          <cell r="I487">
            <v>0</v>
          </cell>
          <cell r="J487">
            <v>2</v>
          </cell>
          <cell r="K487">
            <v>2</v>
          </cell>
        </row>
        <row r="488">
          <cell r="A488">
            <v>10835245</v>
          </cell>
          <cell r="B488" t="str">
            <v>'10835245',</v>
          </cell>
          <cell r="C488" t="str">
            <v>Resto bar San marquino</v>
          </cell>
          <cell r="D488" t="str">
            <v>PE Dir Lima</v>
          </cell>
          <cell r="E488" t="str">
            <v>PE Ger P1 Lima Oeste</v>
          </cell>
          <cell r="F488">
            <v>2</v>
          </cell>
          <cell r="G488">
            <v>3</v>
          </cell>
          <cell r="H488">
            <v>5</v>
          </cell>
          <cell r="I488">
            <v>0</v>
          </cell>
          <cell r="J488">
            <v>0</v>
          </cell>
          <cell r="K488">
            <v>0</v>
          </cell>
        </row>
        <row r="489">
          <cell r="A489">
            <v>12780831</v>
          </cell>
          <cell r="B489" t="str">
            <v>'12780831',</v>
          </cell>
          <cell r="C489" t="str">
            <v>Cevicheria delicias del mar</v>
          </cell>
          <cell r="D489" t="str">
            <v>PE Dir Lima</v>
          </cell>
          <cell r="E489" t="str">
            <v>PE Ger P1 Lima Norte</v>
          </cell>
          <cell r="F489">
            <v>0</v>
          </cell>
          <cell r="G489">
            <v>4</v>
          </cell>
          <cell r="H489">
            <v>4</v>
          </cell>
          <cell r="I489">
            <v>0</v>
          </cell>
          <cell r="J489">
            <v>0</v>
          </cell>
          <cell r="K489">
            <v>0</v>
          </cell>
        </row>
        <row r="490">
          <cell r="A490">
            <v>14298103</v>
          </cell>
          <cell r="B490" t="str">
            <v>'14298103',</v>
          </cell>
          <cell r="C490" t="str">
            <v>El clásico del Mar</v>
          </cell>
          <cell r="D490" t="str">
            <v>PE Dir Lima</v>
          </cell>
          <cell r="E490" t="str">
            <v>PE Ger P1 Norte Chi</v>
          </cell>
          <cell r="F490">
            <v>0</v>
          </cell>
          <cell r="G490">
            <v>3</v>
          </cell>
          <cell r="H490">
            <v>3</v>
          </cell>
          <cell r="I490">
            <v>0</v>
          </cell>
          <cell r="J490">
            <v>4</v>
          </cell>
          <cell r="K490">
            <v>4</v>
          </cell>
        </row>
        <row r="491">
          <cell r="A491">
            <v>11422755</v>
          </cell>
          <cell r="B491" t="str">
            <v>'11422755',</v>
          </cell>
          <cell r="C491" t="str">
            <v>El Pez Gordo</v>
          </cell>
          <cell r="D491" t="str">
            <v>PE Dir Norte</v>
          </cell>
          <cell r="E491" t="str">
            <v>PE Ger P2 Piura</v>
          </cell>
          <cell r="F491">
            <v>1</v>
          </cell>
          <cell r="G491">
            <v>12</v>
          </cell>
          <cell r="H491">
            <v>13</v>
          </cell>
          <cell r="I491">
            <v>0</v>
          </cell>
          <cell r="J491">
            <v>0</v>
          </cell>
          <cell r="K491">
            <v>0</v>
          </cell>
        </row>
        <row r="492">
          <cell r="A492">
            <v>11204409</v>
          </cell>
          <cell r="B492" t="str">
            <v>'11204409',</v>
          </cell>
          <cell r="C492" t="str">
            <v>Santo pecado</v>
          </cell>
          <cell r="D492" t="str">
            <v>PE Dir Sur</v>
          </cell>
          <cell r="E492" t="str">
            <v>PE Ger P3 Tacna</v>
          </cell>
          <cell r="F492">
            <v>1</v>
          </cell>
          <cell r="G492">
            <v>4</v>
          </cell>
          <cell r="H492">
            <v>5</v>
          </cell>
          <cell r="I492">
            <v>0</v>
          </cell>
          <cell r="J492">
            <v>0</v>
          </cell>
          <cell r="K492">
            <v>0</v>
          </cell>
        </row>
        <row r="493">
          <cell r="A493">
            <v>10205622</v>
          </cell>
          <cell r="B493" t="str">
            <v>'10205622',</v>
          </cell>
          <cell r="C493" t="str">
            <v>EL PEZ ON - MIRAFLORES</v>
          </cell>
          <cell r="D493" t="str">
            <v>PE Dir Lima</v>
          </cell>
          <cell r="E493" t="str">
            <v>PE Ger P1 Lima Centr</v>
          </cell>
          <cell r="F493">
            <v>0</v>
          </cell>
          <cell r="G493">
            <v>3</v>
          </cell>
          <cell r="H493">
            <v>3</v>
          </cell>
          <cell r="I493">
            <v>2</v>
          </cell>
          <cell r="J493">
            <v>1</v>
          </cell>
          <cell r="K493">
            <v>3</v>
          </cell>
        </row>
        <row r="494">
          <cell r="A494">
            <v>11223125</v>
          </cell>
          <cell r="B494" t="str">
            <v>'11223125',</v>
          </cell>
          <cell r="C494" t="str">
            <v>PUERTO NORTE</v>
          </cell>
          <cell r="D494" t="str">
            <v>PE Dir Lima</v>
          </cell>
          <cell r="E494" t="str">
            <v>PE Ger P1 Lima Centr</v>
          </cell>
          <cell r="F494">
            <v>0</v>
          </cell>
          <cell r="G494">
            <v>2</v>
          </cell>
          <cell r="H494">
            <v>2</v>
          </cell>
          <cell r="I494">
            <v>1</v>
          </cell>
          <cell r="J494">
            <v>0</v>
          </cell>
          <cell r="K494">
            <v>1</v>
          </cell>
        </row>
        <row r="495">
          <cell r="A495">
            <v>14473047</v>
          </cell>
          <cell r="B495" t="str">
            <v>'14473047',</v>
          </cell>
          <cell r="C495" t="str">
            <v>Ensaltados</v>
          </cell>
          <cell r="D495" t="str">
            <v>PE Dir Lima</v>
          </cell>
          <cell r="E495" t="str">
            <v>PE Ger P1 Lima Centr</v>
          </cell>
          <cell r="F495">
            <v>0</v>
          </cell>
          <cell r="G495">
            <v>3</v>
          </cell>
          <cell r="H495">
            <v>3</v>
          </cell>
          <cell r="I495">
            <v>0</v>
          </cell>
          <cell r="J495">
            <v>1</v>
          </cell>
          <cell r="K495">
            <v>1</v>
          </cell>
        </row>
        <row r="496">
          <cell r="A496">
            <v>10927670</v>
          </cell>
          <cell r="B496" t="str">
            <v>'10927670',</v>
          </cell>
          <cell r="C496" t="str">
            <v>HOTEL RIO HUALLAGA</v>
          </cell>
          <cell r="D496" t="str">
            <v>PE Dir Centro Orient</v>
          </cell>
          <cell r="E496" t="str">
            <v>PE Ger P4 Tarapoto</v>
          </cell>
          <cell r="F496">
            <v>0</v>
          </cell>
          <cell r="G496">
            <v>5</v>
          </cell>
          <cell r="H496">
            <v>5</v>
          </cell>
          <cell r="I496">
            <v>0</v>
          </cell>
          <cell r="J496">
            <v>0</v>
          </cell>
          <cell r="K496">
            <v>0</v>
          </cell>
        </row>
        <row r="497">
          <cell r="A497">
            <v>13487415</v>
          </cell>
          <cell r="B497" t="str">
            <v>'13487415',</v>
          </cell>
          <cell r="C497" t="str">
            <v>Cevichería TOLICHY  Sea Food</v>
          </cell>
          <cell r="D497" t="str">
            <v>PE Dir Lima</v>
          </cell>
          <cell r="E497" t="str">
            <v>PE Ger P1 Lima Oeste</v>
          </cell>
          <cell r="F497">
            <v>0</v>
          </cell>
          <cell r="G497">
            <v>7</v>
          </cell>
          <cell r="H497">
            <v>7</v>
          </cell>
          <cell r="I497">
            <v>0</v>
          </cell>
          <cell r="J497">
            <v>0</v>
          </cell>
          <cell r="K497">
            <v>0</v>
          </cell>
        </row>
        <row r="498">
          <cell r="A498">
            <v>11205910</v>
          </cell>
          <cell r="B498" t="str">
            <v>'11205910',</v>
          </cell>
          <cell r="C498" t="str">
            <v>Puerta mar</v>
          </cell>
          <cell r="D498" t="str">
            <v>PE Dir Sur</v>
          </cell>
          <cell r="E498" t="str">
            <v>PE Ger P3 Arequipa</v>
          </cell>
          <cell r="F498">
            <v>0</v>
          </cell>
          <cell r="G498">
            <v>2</v>
          </cell>
          <cell r="H498">
            <v>2</v>
          </cell>
          <cell r="I498">
            <v>0</v>
          </cell>
          <cell r="J498">
            <v>0</v>
          </cell>
          <cell r="K498">
            <v>0</v>
          </cell>
        </row>
        <row r="499">
          <cell r="A499">
            <v>14008611</v>
          </cell>
          <cell r="B499" t="str">
            <v>'14008611',</v>
          </cell>
          <cell r="C499" t="str">
            <v>Entre Pelotas</v>
          </cell>
          <cell r="D499" t="str">
            <v>PE Dir Norte</v>
          </cell>
          <cell r="E499" t="str">
            <v>PE Ger P2 Chiclay Ca</v>
          </cell>
          <cell r="F499">
            <v>1</v>
          </cell>
          <cell r="G499">
            <v>3</v>
          </cell>
          <cell r="H499">
            <v>4</v>
          </cell>
          <cell r="I499">
            <v>0</v>
          </cell>
          <cell r="J499">
            <v>4</v>
          </cell>
          <cell r="K499">
            <v>4</v>
          </cell>
        </row>
        <row r="500">
          <cell r="A500">
            <v>14443744</v>
          </cell>
          <cell r="B500" t="str">
            <v>'14443744',</v>
          </cell>
          <cell r="C500" t="str">
            <v>MAYITO</v>
          </cell>
          <cell r="D500" t="str">
            <v>PE Dir Norte</v>
          </cell>
          <cell r="E500" t="str">
            <v>PE Ger P2 Chiclay Ca</v>
          </cell>
          <cell r="F500">
            <v>1</v>
          </cell>
          <cell r="G500">
            <v>0</v>
          </cell>
          <cell r="H500">
            <v>1</v>
          </cell>
          <cell r="I500">
            <v>1</v>
          </cell>
          <cell r="J500">
            <v>0</v>
          </cell>
          <cell r="K500">
            <v>1</v>
          </cell>
        </row>
        <row r="501">
          <cell r="A501">
            <v>14473061</v>
          </cell>
          <cell r="B501" t="str">
            <v>'14473061',</v>
          </cell>
          <cell r="C501" t="str">
            <v>Bitute JBR</v>
          </cell>
          <cell r="D501" t="str">
            <v>PE Dir Sur</v>
          </cell>
          <cell r="E501" t="str">
            <v>PE Ger P3 Arequipa</v>
          </cell>
          <cell r="F501">
            <v>0</v>
          </cell>
          <cell r="G501">
            <v>2</v>
          </cell>
          <cell r="H501">
            <v>2</v>
          </cell>
          <cell r="I501">
            <v>0</v>
          </cell>
          <cell r="J501">
            <v>0</v>
          </cell>
          <cell r="K501">
            <v>0</v>
          </cell>
        </row>
        <row r="502">
          <cell r="A502">
            <v>10188874</v>
          </cell>
          <cell r="B502" t="str">
            <v>'10188874',</v>
          </cell>
          <cell r="C502" t="str">
            <v>MIRAMAR - MIRAMAR</v>
          </cell>
          <cell r="D502" t="str">
            <v>PE Dir Lima</v>
          </cell>
          <cell r="E502" t="str">
            <v>PE Ger P1 Lima Centr</v>
          </cell>
          <cell r="F502">
            <v>0</v>
          </cell>
          <cell r="G502">
            <v>2</v>
          </cell>
          <cell r="H502">
            <v>2</v>
          </cell>
          <cell r="I502">
            <v>0</v>
          </cell>
          <cell r="J502">
            <v>1</v>
          </cell>
          <cell r="K502">
            <v>1</v>
          </cell>
        </row>
        <row r="503">
          <cell r="A503">
            <v>13199646</v>
          </cell>
          <cell r="B503" t="str">
            <v>'13199646',</v>
          </cell>
          <cell r="C503" t="str">
            <v>Club Apurimac</v>
          </cell>
          <cell r="D503" t="str">
            <v>PE Dir Lima</v>
          </cell>
          <cell r="E503" t="str">
            <v>PE Ger P1 Lima Centr</v>
          </cell>
          <cell r="F503">
            <v>0</v>
          </cell>
          <cell r="G503">
            <v>2</v>
          </cell>
          <cell r="H503">
            <v>2</v>
          </cell>
          <cell r="I503">
            <v>0</v>
          </cell>
          <cell r="J503">
            <v>0</v>
          </cell>
          <cell r="K503">
            <v>0</v>
          </cell>
        </row>
        <row r="504">
          <cell r="A504">
            <v>10177331</v>
          </cell>
          <cell r="B504" t="str">
            <v>'10177331',</v>
          </cell>
          <cell r="C504" t="str">
            <v>Cosfup</v>
          </cell>
          <cell r="D504" t="str">
            <v>PE Dir Lima</v>
          </cell>
          <cell r="E504" t="str">
            <v>PE Ger P1 Lima Este</v>
          </cell>
          <cell r="F504">
            <v>0</v>
          </cell>
          <cell r="G504">
            <v>1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</row>
        <row r="505">
          <cell r="A505">
            <v>11476363</v>
          </cell>
          <cell r="B505" t="str">
            <v>'11476363',</v>
          </cell>
          <cell r="C505" t="str">
            <v>Mar &amp; Sol</v>
          </cell>
          <cell r="D505" t="str">
            <v>PE Dir Lima</v>
          </cell>
          <cell r="E505" t="str">
            <v>PE Ger P1 Lima Oeste</v>
          </cell>
          <cell r="F505">
            <v>0</v>
          </cell>
          <cell r="G505">
            <v>1</v>
          </cell>
          <cell r="H505">
            <v>1</v>
          </cell>
          <cell r="I505">
            <v>0</v>
          </cell>
          <cell r="J505">
            <v>0</v>
          </cell>
          <cell r="K505">
            <v>0</v>
          </cell>
        </row>
        <row r="506">
          <cell r="A506">
            <v>14376809</v>
          </cell>
          <cell r="B506" t="str">
            <v>'14376809',</v>
          </cell>
          <cell r="C506" t="str">
            <v>Bitute Cayma</v>
          </cell>
          <cell r="D506" t="str">
            <v>PE Dir Sur</v>
          </cell>
          <cell r="E506" t="str">
            <v>PE Ger P3 Arequipa</v>
          </cell>
          <cell r="F506">
            <v>1</v>
          </cell>
          <cell r="G506">
            <v>1</v>
          </cell>
          <cell r="H506">
            <v>2</v>
          </cell>
          <cell r="I506">
            <v>0</v>
          </cell>
          <cell r="J506">
            <v>0</v>
          </cell>
          <cell r="K506">
            <v>0</v>
          </cell>
        </row>
        <row r="507">
          <cell r="A507">
            <v>13531616</v>
          </cell>
          <cell r="B507" t="str">
            <v>'13531616',</v>
          </cell>
          <cell r="C507" t="str">
            <v>TOKUYO MANCORA</v>
          </cell>
          <cell r="D507" t="str">
            <v>PE Dir Norte</v>
          </cell>
          <cell r="E507" t="str">
            <v>PE Ger P2 Tumbes T</v>
          </cell>
          <cell r="F507">
            <v>1</v>
          </cell>
          <cell r="G507">
            <v>2</v>
          </cell>
          <cell r="H507">
            <v>3</v>
          </cell>
          <cell r="I507">
            <v>0</v>
          </cell>
          <cell r="J507">
            <v>0</v>
          </cell>
          <cell r="K507">
            <v>0</v>
          </cell>
        </row>
        <row r="508">
          <cell r="A508">
            <v>14165254</v>
          </cell>
          <cell r="B508" t="str">
            <v>'14165254',</v>
          </cell>
          <cell r="C508" t="str">
            <v>Sabores Cusqueños</v>
          </cell>
          <cell r="D508" t="str">
            <v>PE Dir Lima</v>
          </cell>
          <cell r="E508" t="str">
            <v>PE Ger P1 Lima Centr</v>
          </cell>
          <cell r="F508">
            <v>0</v>
          </cell>
          <cell r="G508">
            <v>3</v>
          </cell>
          <cell r="H508">
            <v>3</v>
          </cell>
          <cell r="I508">
            <v>1</v>
          </cell>
          <cell r="J508">
            <v>0</v>
          </cell>
          <cell r="K508">
            <v>1</v>
          </cell>
        </row>
        <row r="509">
          <cell r="A509">
            <v>10023643</v>
          </cell>
          <cell r="B509" t="str">
            <v>'10023643',</v>
          </cell>
          <cell r="C509" t="str">
            <v>Campestre Los Patos</v>
          </cell>
          <cell r="D509" t="str">
            <v>PE Dir Norte</v>
          </cell>
          <cell r="E509" t="str">
            <v>PE Ger P2 Trujillo</v>
          </cell>
          <cell r="F509">
            <v>0</v>
          </cell>
          <cell r="G509">
            <v>3</v>
          </cell>
          <cell r="H509">
            <v>3</v>
          </cell>
          <cell r="I509">
            <v>0</v>
          </cell>
          <cell r="J509">
            <v>1</v>
          </cell>
          <cell r="K509">
            <v>1</v>
          </cell>
        </row>
        <row r="510">
          <cell r="A510">
            <v>12278991</v>
          </cell>
          <cell r="B510" t="str">
            <v>'12278991',</v>
          </cell>
          <cell r="C510" t="str">
            <v>Hotel el Tinajon</v>
          </cell>
          <cell r="D510" t="str">
            <v>PE Dir Lima</v>
          </cell>
          <cell r="E510" t="str">
            <v>PE Ger P1 Lima Este</v>
          </cell>
          <cell r="F510">
            <v>1</v>
          </cell>
          <cell r="G510">
            <v>2</v>
          </cell>
          <cell r="H510">
            <v>3</v>
          </cell>
          <cell r="I510">
            <v>0</v>
          </cell>
          <cell r="J510">
            <v>0</v>
          </cell>
          <cell r="K510">
            <v>0</v>
          </cell>
        </row>
        <row r="511">
          <cell r="A511">
            <v>13043446</v>
          </cell>
          <cell r="B511" t="str">
            <v>'13043446',</v>
          </cell>
          <cell r="C511" t="str">
            <v>Esencia De Buenos Aires</v>
          </cell>
          <cell r="D511" t="str">
            <v>PE Dir Norte</v>
          </cell>
          <cell r="E511" t="str">
            <v>PE Ger P2 Chiclay Ca</v>
          </cell>
          <cell r="F511">
            <v>1</v>
          </cell>
          <cell r="G511">
            <v>0</v>
          </cell>
          <cell r="H511">
            <v>1</v>
          </cell>
          <cell r="I511">
            <v>0</v>
          </cell>
          <cell r="J511">
            <v>0</v>
          </cell>
          <cell r="K511">
            <v>0</v>
          </cell>
        </row>
        <row r="512">
          <cell r="A512">
            <v>11072225</v>
          </cell>
          <cell r="B512" t="str">
            <v>'11072225',</v>
          </cell>
          <cell r="C512" t="str">
            <v>Restaurante cevicheria mi charito</v>
          </cell>
          <cell r="D512" t="str">
            <v>PE Dir Norte</v>
          </cell>
          <cell r="E512" t="str">
            <v>PE Ger P2 Piura</v>
          </cell>
          <cell r="F512">
            <v>1</v>
          </cell>
          <cell r="G512">
            <v>1</v>
          </cell>
          <cell r="H512">
            <v>2</v>
          </cell>
          <cell r="I512">
            <v>1</v>
          </cell>
          <cell r="J512">
            <v>8</v>
          </cell>
          <cell r="K512">
            <v>9</v>
          </cell>
        </row>
        <row r="513">
          <cell r="A513">
            <v>10140750</v>
          </cell>
          <cell r="B513" t="str">
            <v>'10140750',</v>
          </cell>
          <cell r="C513" t="str">
            <v>El Gato Negro</v>
          </cell>
          <cell r="D513" t="str">
            <v>PE Dir Centro Orient</v>
          </cell>
          <cell r="E513" t="str">
            <v>PE Ger P4 Pucall Hco</v>
          </cell>
          <cell r="F513">
            <v>0</v>
          </cell>
          <cell r="G513">
            <v>3</v>
          </cell>
          <cell r="H513">
            <v>3</v>
          </cell>
          <cell r="I513">
            <v>0</v>
          </cell>
          <cell r="J513">
            <v>0</v>
          </cell>
          <cell r="K513">
            <v>0</v>
          </cell>
        </row>
        <row r="514">
          <cell r="A514">
            <v>11177865</v>
          </cell>
          <cell r="B514" t="str">
            <v>'11177865',</v>
          </cell>
          <cell r="C514" t="str">
            <v>El Lomito</v>
          </cell>
          <cell r="D514" t="str">
            <v>PE Dir Lima</v>
          </cell>
          <cell r="E514" t="str">
            <v>PE Ger P1 Lima Este</v>
          </cell>
          <cell r="F514">
            <v>0</v>
          </cell>
          <cell r="G514">
            <v>1</v>
          </cell>
          <cell r="H514">
            <v>1</v>
          </cell>
          <cell r="I514">
            <v>0</v>
          </cell>
          <cell r="J514">
            <v>2</v>
          </cell>
          <cell r="K514">
            <v>2</v>
          </cell>
        </row>
        <row r="515">
          <cell r="A515">
            <v>10247407</v>
          </cell>
          <cell r="B515" t="str">
            <v>'10247407',</v>
          </cell>
          <cell r="C515" t="str">
            <v>Salón Turístico Cevicheria Mateo Sa</v>
          </cell>
          <cell r="D515" t="str">
            <v>PE Dir Lima</v>
          </cell>
          <cell r="E515" t="str">
            <v>PE Ger P1 Lima Oeste</v>
          </cell>
          <cell r="F515">
            <v>1</v>
          </cell>
          <cell r="G515">
            <v>0</v>
          </cell>
          <cell r="H515">
            <v>1</v>
          </cell>
          <cell r="I515">
            <v>0</v>
          </cell>
          <cell r="J515">
            <v>0</v>
          </cell>
          <cell r="K515">
            <v>0</v>
          </cell>
        </row>
        <row r="516">
          <cell r="A516">
            <v>12933144</v>
          </cell>
          <cell r="B516" t="str">
            <v>'12933144',</v>
          </cell>
          <cell r="C516" t="str">
            <v>Las Ruedas De Pachacamac</v>
          </cell>
          <cell r="D516" t="str">
            <v>PE Dir Lima</v>
          </cell>
          <cell r="E516" t="str">
            <v>PE Ger P1 Lima Sur</v>
          </cell>
          <cell r="F516">
            <v>0</v>
          </cell>
          <cell r="G516">
            <v>5</v>
          </cell>
          <cell r="H516">
            <v>5</v>
          </cell>
          <cell r="I516">
            <v>0</v>
          </cell>
          <cell r="J516">
            <v>0</v>
          </cell>
          <cell r="K516">
            <v>0</v>
          </cell>
        </row>
        <row r="517">
          <cell r="A517">
            <v>12622480</v>
          </cell>
          <cell r="B517" t="str">
            <v>'12622480',</v>
          </cell>
          <cell r="C517" t="str">
            <v>Entre noche &amp; parrillas</v>
          </cell>
          <cell r="D517" t="str">
            <v>PE Dir Lima</v>
          </cell>
          <cell r="E517" t="str">
            <v>PE Ger P1 Lima Norte</v>
          </cell>
          <cell r="F517">
            <v>0</v>
          </cell>
          <cell r="G517">
            <v>2</v>
          </cell>
          <cell r="H517">
            <v>2</v>
          </cell>
          <cell r="I517">
            <v>0</v>
          </cell>
          <cell r="J517">
            <v>0</v>
          </cell>
          <cell r="K517">
            <v>0</v>
          </cell>
        </row>
        <row r="518">
          <cell r="A518">
            <v>11146138</v>
          </cell>
          <cell r="B518" t="str">
            <v>'11146138',</v>
          </cell>
          <cell r="C518" t="str">
            <v>Marvin’s</v>
          </cell>
          <cell r="D518" t="str">
            <v>PE Dir Lima</v>
          </cell>
          <cell r="E518" t="str">
            <v>PE Ger P1 Lima Centr</v>
          </cell>
          <cell r="F518">
            <v>0</v>
          </cell>
          <cell r="G518">
            <v>3</v>
          </cell>
          <cell r="H518">
            <v>3</v>
          </cell>
          <cell r="I518">
            <v>0</v>
          </cell>
          <cell r="J518">
            <v>0</v>
          </cell>
          <cell r="K518">
            <v>0</v>
          </cell>
        </row>
        <row r="519">
          <cell r="A519">
            <v>14341228</v>
          </cell>
          <cell r="B519" t="str">
            <v>'14341228',</v>
          </cell>
          <cell r="C519" t="str">
            <v>Barquero 885</v>
          </cell>
          <cell r="D519" t="str">
            <v>PE Dir Lima</v>
          </cell>
          <cell r="E519" t="str">
            <v>PE Ger P1 Lima Oeste</v>
          </cell>
          <cell r="F519">
            <v>0</v>
          </cell>
          <cell r="G519">
            <v>4</v>
          </cell>
          <cell r="H519">
            <v>4</v>
          </cell>
          <cell r="I519">
            <v>0</v>
          </cell>
          <cell r="J519">
            <v>4</v>
          </cell>
          <cell r="K519">
            <v>4</v>
          </cell>
        </row>
        <row r="520">
          <cell r="A520">
            <v>11102296</v>
          </cell>
          <cell r="B520" t="str">
            <v>'11102296',</v>
          </cell>
          <cell r="C520" t="str">
            <v>CEVICHERIA "HNOS. SULLON CASTRO"</v>
          </cell>
          <cell r="D520" t="str">
            <v>PE Dir Lima</v>
          </cell>
          <cell r="E520" t="str">
            <v>PE Ger P1 Lima Norte</v>
          </cell>
          <cell r="F520">
            <v>1</v>
          </cell>
          <cell r="G520">
            <v>0</v>
          </cell>
          <cell r="H520">
            <v>1</v>
          </cell>
          <cell r="I520">
            <v>0</v>
          </cell>
          <cell r="J520">
            <v>2</v>
          </cell>
          <cell r="K520">
            <v>2</v>
          </cell>
        </row>
        <row r="521">
          <cell r="A521">
            <v>11305748</v>
          </cell>
          <cell r="B521" t="str">
            <v>'11305748',</v>
          </cell>
          <cell r="C521" t="str">
            <v>BERYPEZ - JESUS MARIA</v>
          </cell>
          <cell r="D521" t="str">
            <v>PE Dir Lima</v>
          </cell>
          <cell r="E521" t="str">
            <v>PE Ger P1 Lima Centr</v>
          </cell>
          <cell r="F521">
            <v>0</v>
          </cell>
          <cell r="G521">
            <v>4</v>
          </cell>
          <cell r="H521">
            <v>4</v>
          </cell>
          <cell r="I521">
            <v>0</v>
          </cell>
          <cell r="J521">
            <v>1</v>
          </cell>
          <cell r="K521">
            <v>1</v>
          </cell>
        </row>
        <row r="522">
          <cell r="A522">
            <v>14196135</v>
          </cell>
          <cell r="B522" t="str">
            <v>'14196135',</v>
          </cell>
          <cell r="C522" t="str">
            <v>Empresa Peruana de Gastronomia Y Arte Culinario</v>
          </cell>
          <cell r="D522" t="str">
            <v>PE Dir Lima</v>
          </cell>
          <cell r="E522" t="str">
            <v>PE Ger P1 Lima Oeste</v>
          </cell>
          <cell r="F522">
            <v>0</v>
          </cell>
          <cell r="G522">
            <v>1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</row>
        <row r="523">
          <cell r="A523">
            <v>14187003</v>
          </cell>
          <cell r="B523" t="str">
            <v>'14187003',</v>
          </cell>
          <cell r="C523" t="str">
            <v>Surco tradicion</v>
          </cell>
          <cell r="D523" t="str">
            <v>PE Dir Lima</v>
          </cell>
          <cell r="E523" t="str">
            <v>PE Ger P1 Lima Sur</v>
          </cell>
          <cell r="F523">
            <v>0</v>
          </cell>
          <cell r="G523">
            <v>3</v>
          </cell>
          <cell r="H523">
            <v>3</v>
          </cell>
          <cell r="I523">
            <v>0</v>
          </cell>
          <cell r="J523">
            <v>1</v>
          </cell>
          <cell r="K523">
            <v>1</v>
          </cell>
        </row>
        <row r="524">
          <cell r="A524">
            <v>10252166</v>
          </cell>
          <cell r="B524" t="str">
            <v>'10252166',</v>
          </cell>
          <cell r="C524" t="str">
            <v>Cevicheria Moron</v>
          </cell>
          <cell r="D524" t="str">
            <v>PE Dir Lima</v>
          </cell>
          <cell r="E524" t="str">
            <v>PE Ger P1 Lima Sur</v>
          </cell>
          <cell r="F524">
            <v>0</v>
          </cell>
          <cell r="G524">
            <v>3</v>
          </cell>
          <cell r="H524">
            <v>3</v>
          </cell>
          <cell r="I524">
            <v>0</v>
          </cell>
          <cell r="J524">
            <v>2</v>
          </cell>
          <cell r="K524">
            <v>2</v>
          </cell>
        </row>
        <row r="525">
          <cell r="A525">
            <v>11007194</v>
          </cell>
          <cell r="B525" t="str">
            <v>'11007194',</v>
          </cell>
          <cell r="C525" t="str">
            <v>Restaurante Lorenzo</v>
          </cell>
          <cell r="D525" t="str">
            <v>PE Dir Lima</v>
          </cell>
          <cell r="E525" t="str">
            <v>PE Ger P1 Lima Oeste</v>
          </cell>
          <cell r="F525">
            <v>1</v>
          </cell>
          <cell r="G525">
            <v>2</v>
          </cell>
          <cell r="H525">
            <v>3</v>
          </cell>
          <cell r="I525">
            <v>0</v>
          </cell>
          <cell r="J525">
            <v>0</v>
          </cell>
          <cell r="K525">
            <v>0</v>
          </cell>
        </row>
        <row r="526">
          <cell r="A526">
            <v>14491093</v>
          </cell>
          <cell r="B526" t="str">
            <v>'14491093',</v>
          </cell>
          <cell r="C526" t="str">
            <v>La Caleta</v>
          </cell>
          <cell r="D526" t="str">
            <v>PE Dir Lima</v>
          </cell>
          <cell r="E526" t="str">
            <v>PE Ger P1 Lima Centr</v>
          </cell>
          <cell r="F526">
            <v>0</v>
          </cell>
          <cell r="G526">
            <v>3</v>
          </cell>
          <cell r="H526">
            <v>3</v>
          </cell>
          <cell r="I526">
            <v>0</v>
          </cell>
          <cell r="J526">
            <v>0</v>
          </cell>
          <cell r="K526">
            <v>0</v>
          </cell>
        </row>
        <row r="527">
          <cell r="A527">
            <v>12625544</v>
          </cell>
          <cell r="B527" t="str">
            <v>'12625544',</v>
          </cell>
          <cell r="C527" t="str">
            <v>El velero pirata</v>
          </cell>
          <cell r="D527" t="str">
            <v>PE Dir Lima</v>
          </cell>
          <cell r="E527" t="str">
            <v>PE Ger P1 Lima Sur</v>
          </cell>
          <cell r="F527">
            <v>0</v>
          </cell>
          <cell r="G527">
            <v>4</v>
          </cell>
          <cell r="H527">
            <v>4</v>
          </cell>
          <cell r="I527">
            <v>0</v>
          </cell>
          <cell r="J527">
            <v>0</v>
          </cell>
          <cell r="K527">
            <v>0</v>
          </cell>
        </row>
        <row r="528">
          <cell r="A528">
            <v>10981335</v>
          </cell>
          <cell r="B528" t="str">
            <v>'10981335',</v>
          </cell>
          <cell r="C528" t="e">
            <v>#N/A</v>
          </cell>
          <cell r="D528" t="e">
            <v>#N/A</v>
          </cell>
          <cell r="E528" t="e">
            <v>#N/A</v>
          </cell>
          <cell r="F528">
            <v>0</v>
          </cell>
          <cell r="G528">
            <v>1</v>
          </cell>
          <cell r="H528">
            <v>1</v>
          </cell>
          <cell r="I528">
            <v>0</v>
          </cell>
          <cell r="J528">
            <v>0</v>
          </cell>
          <cell r="K528">
            <v>0</v>
          </cell>
        </row>
        <row r="529">
          <cell r="A529">
            <v>12949245</v>
          </cell>
          <cell r="B529" t="str">
            <v>'12949245',</v>
          </cell>
          <cell r="C529" t="str">
            <v>BARRA420</v>
          </cell>
          <cell r="D529" t="str">
            <v>PE Dir Sur</v>
          </cell>
          <cell r="E529" t="str">
            <v>PE Ger P3 Arequipa</v>
          </cell>
          <cell r="F529">
            <v>0</v>
          </cell>
          <cell r="G529">
            <v>2</v>
          </cell>
          <cell r="H529">
            <v>2</v>
          </cell>
          <cell r="I529">
            <v>0</v>
          </cell>
          <cell r="J529">
            <v>0</v>
          </cell>
          <cell r="K529">
            <v>0</v>
          </cell>
        </row>
        <row r="530">
          <cell r="A530">
            <v>14462300</v>
          </cell>
          <cell r="B530" t="str">
            <v>'14462300',</v>
          </cell>
          <cell r="C530" t="str">
            <v>Sabor Chiclayano</v>
          </cell>
          <cell r="D530" t="str">
            <v>PE Dir Lima</v>
          </cell>
          <cell r="E530" t="str">
            <v>PE Ger P1 Lima Centr</v>
          </cell>
          <cell r="F530">
            <v>0</v>
          </cell>
          <cell r="G530">
            <v>2</v>
          </cell>
          <cell r="H530">
            <v>2</v>
          </cell>
          <cell r="I530">
            <v>0</v>
          </cell>
          <cell r="J530">
            <v>2</v>
          </cell>
          <cell r="K530">
            <v>2</v>
          </cell>
        </row>
        <row r="531">
          <cell r="A531">
            <v>12406507</v>
          </cell>
          <cell r="B531" t="str">
            <v>'12406507',</v>
          </cell>
          <cell r="C531" t="str">
            <v>Picanteria el paisa marino</v>
          </cell>
          <cell r="D531" t="str">
            <v>PE Dir Lima</v>
          </cell>
          <cell r="E531" t="str">
            <v>PE Ger P1 Lima Este</v>
          </cell>
          <cell r="F531">
            <v>0</v>
          </cell>
          <cell r="G531">
            <v>2</v>
          </cell>
          <cell r="H531">
            <v>2</v>
          </cell>
          <cell r="I531">
            <v>0</v>
          </cell>
          <cell r="J531">
            <v>1</v>
          </cell>
          <cell r="K531">
            <v>1</v>
          </cell>
        </row>
        <row r="532">
          <cell r="A532">
            <v>11437870</v>
          </cell>
          <cell r="B532" t="str">
            <v>'11437870',</v>
          </cell>
          <cell r="C532" t="str">
            <v>El Encanto Norteño</v>
          </cell>
          <cell r="D532" t="str">
            <v>PE Dir Lima</v>
          </cell>
          <cell r="E532" t="str">
            <v>PE Ger P1 Lima Sur</v>
          </cell>
          <cell r="F532">
            <v>0</v>
          </cell>
          <cell r="G532">
            <v>4</v>
          </cell>
          <cell r="H532">
            <v>4</v>
          </cell>
          <cell r="I532">
            <v>0</v>
          </cell>
          <cell r="J532">
            <v>0</v>
          </cell>
          <cell r="K532">
            <v>0</v>
          </cell>
        </row>
        <row r="533">
          <cell r="A533">
            <v>14017476</v>
          </cell>
          <cell r="B533" t="str">
            <v>'14017476',</v>
          </cell>
          <cell r="C533" t="str">
            <v>El rincón de eli 2</v>
          </cell>
          <cell r="D533" t="str">
            <v>PE Dir Lima</v>
          </cell>
          <cell r="E533" t="str">
            <v>PE Ger P1 Lima Sur</v>
          </cell>
          <cell r="F533">
            <v>0</v>
          </cell>
          <cell r="G533">
            <v>3</v>
          </cell>
          <cell r="H533">
            <v>3</v>
          </cell>
          <cell r="I533">
            <v>0</v>
          </cell>
          <cell r="J533">
            <v>0</v>
          </cell>
          <cell r="K533">
            <v>0</v>
          </cell>
        </row>
        <row r="534">
          <cell r="A534">
            <v>10226317</v>
          </cell>
          <cell r="B534" t="str">
            <v>'10226317',</v>
          </cell>
          <cell r="C534" t="str">
            <v>Entre noche &amp; parrillas lucy</v>
          </cell>
          <cell r="D534" t="str">
            <v>PE Dir Lima</v>
          </cell>
          <cell r="E534" t="str">
            <v>PE Ger P1 Lima Norte</v>
          </cell>
          <cell r="F534">
            <v>0</v>
          </cell>
          <cell r="G534">
            <v>2</v>
          </cell>
          <cell r="H534">
            <v>2</v>
          </cell>
          <cell r="I534">
            <v>0</v>
          </cell>
          <cell r="J534">
            <v>1</v>
          </cell>
          <cell r="K534">
            <v>1</v>
          </cell>
        </row>
        <row r="535">
          <cell r="A535">
            <v>13964938</v>
          </cell>
          <cell r="B535" t="str">
            <v>'13964938',</v>
          </cell>
          <cell r="C535" t="str">
            <v>Sol Mar Pescados y Mariscos</v>
          </cell>
          <cell r="D535" t="str">
            <v>PE Dir Lima</v>
          </cell>
          <cell r="E535" t="str">
            <v>PE Ger P1 Lima Oeste</v>
          </cell>
          <cell r="F535">
            <v>0</v>
          </cell>
          <cell r="G535">
            <v>1</v>
          </cell>
          <cell r="H535">
            <v>1</v>
          </cell>
          <cell r="I535">
            <v>0</v>
          </cell>
          <cell r="J535">
            <v>0</v>
          </cell>
          <cell r="K535">
            <v>0</v>
          </cell>
        </row>
        <row r="536">
          <cell r="A536">
            <v>10999672</v>
          </cell>
          <cell r="B536" t="str">
            <v>'10999672',</v>
          </cell>
          <cell r="C536" t="str">
            <v>Doña Susana</v>
          </cell>
          <cell r="D536" t="str">
            <v>PE Dir Lima</v>
          </cell>
          <cell r="E536" t="str">
            <v>PE Ger P1 Lima Sur</v>
          </cell>
          <cell r="F536">
            <v>0</v>
          </cell>
          <cell r="G536">
            <v>5</v>
          </cell>
          <cell r="H536">
            <v>5</v>
          </cell>
          <cell r="I536">
            <v>0</v>
          </cell>
          <cell r="J536">
            <v>1</v>
          </cell>
          <cell r="K536">
            <v>1</v>
          </cell>
        </row>
        <row r="537">
          <cell r="A537">
            <v>12294478</v>
          </cell>
          <cell r="B537" t="str">
            <v>'12294478',</v>
          </cell>
          <cell r="C537" t="str">
            <v>Hotel Los Corales</v>
          </cell>
          <cell r="D537" t="str">
            <v>PE Dir Norte</v>
          </cell>
          <cell r="E537" t="str">
            <v>PE Ger P2 Tumbes T</v>
          </cell>
          <cell r="F537">
            <v>0</v>
          </cell>
          <cell r="G537">
            <v>2</v>
          </cell>
          <cell r="H537">
            <v>2</v>
          </cell>
          <cell r="I537">
            <v>0</v>
          </cell>
          <cell r="J537">
            <v>0</v>
          </cell>
          <cell r="K537">
            <v>0</v>
          </cell>
        </row>
        <row r="538">
          <cell r="A538">
            <v>12806723</v>
          </cell>
          <cell r="B538" t="str">
            <v>'12806723',</v>
          </cell>
          <cell r="C538" t="str">
            <v>Restaurante munay</v>
          </cell>
          <cell r="D538" t="str">
            <v>PE Dir Sur</v>
          </cell>
          <cell r="E538" t="str">
            <v>PE Ger P3 Ayacucho</v>
          </cell>
          <cell r="F538">
            <v>1</v>
          </cell>
          <cell r="G538">
            <v>1</v>
          </cell>
          <cell r="H538">
            <v>2</v>
          </cell>
          <cell r="I538">
            <v>0</v>
          </cell>
          <cell r="J538">
            <v>0</v>
          </cell>
          <cell r="K538">
            <v>0</v>
          </cell>
        </row>
        <row r="539">
          <cell r="A539">
            <v>13020987</v>
          </cell>
          <cell r="B539" t="str">
            <v>'13020987',</v>
          </cell>
          <cell r="C539" t="str">
            <v>Restaurant limoneros</v>
          </cell>
          <cell r="D539" t="str">
            <v>PE Dir Sur</v>
          </cell>
          <cell r="E539" t="str">
            <v>PE Ger P3 Tacna</v>
          </cell>
          <cell r="F539">
            <v>0</v>
          </cell>
          <cell r="G539">
            <v>3</v>
          </cell>
          <cell r="H539">
            <v>3</v>
          </cell>
          <cell r="I539">
            <v>0</v>
          </cell>
          <cell r="J539">
            <v>0</v>
          </cell>
          <cell r="K539">
            <v>0</v>
          </cell>
        </row>
        <row r="540">
          <cell r="A540">
            <v>13018140</v>
          </cell>
          <cell r="B540" t="str">
            <v>'13018140',</v>
          </cell>
          <cell r="C540" t="str">
            <v>Valle del mayo</v>
          </cell>
          <cell r="D540" t="str">
            <v>PE Dir Centro Orient</v>
          </cell>
          <cell r="E540" t="str">
            <v>PE Ger P4 Tarapoto</v>
          </cell>
          <cell r="F540">
            <v>0</v>
          </cell>
          <cell r="G540">
            <v>7</v>
          </cell>
          <cell r="H540">
            <v>7</v>
          </cell>
          <cell r="I540">
            <v>0</v>
          </cell>
          <cell r="J540">
            <v>0</v>
          </cell>
          <cell r="K540">
            <v>0</v>
          </cell>
        </row>
        <row r="541">
          <cell r="A541">
            <v>11550880</v>
          </cell>
          <cell r="B541" t="str">
            <v>'11550880',</v>
          </cell>
          <cell r="C541" t="str">
            <v>Tipos</v>
          </cell>
          <cell r="D541" t="str">
            <v>PE Dir Lima</v>
          </cell>
          <cell r="E541" t="str">
            <v>PE Ger P1 Lima Oeste</v>
          </cell>
          <cell r="F541">
            <v>0</v>
          </cell>
          <cell r="G541">
            <v>3</v>
          </cell>
          <cell r="H541">
            <v>3</v>
          </cell>
          <cell r="I541">
            <v>0</v>
          </cell>
          <cell r="J541">
            <v>0</v>
          </cell>
          <cell r="K541">
            <v>0</v>
          </cell>
        </row>
        <row r="542">
          <cell r="A542">
            <v>12310001</v>
          </cell>
          <cell r="B542" t="str">
            <v>'12310001',</v>
          </cell>
          <cell r="C542" t="str">
            <v>Rosita Combinados</v>
          </cell>
          <cell r="D542" t="str">
            <v>PE Dir Norte</v>
          </cell>
          <cell r="E542" t="str">
            <v>PE Ger P2 Trujillo</v>
          </cell>
          <cell r="F542">
            <v>0</v>
          </cell>
          <cell r="G542">
            <v>2</v>
          </cell>
          <cell r="H542">
            <v>2</v>
          </cell>
          <cell r="I542">
            <v>0</v>
          </cell>
          <cell r="J542">
            <v>0</v>
          </cell>
          <cell r="K542">
            <v>0</v>
          </cell>
        </row>
        <row r="543">
          <cell r="A543">
            <v>11609833</v>
          </cell>
          <cell r="B543" t="str">
            <v>'11609833',</v>
          </cell>
          <cell r="C543" t="str">
            <v>Restaurant Cevicheria Alanis</v>
          </cell>
          <cell r="D543" t="str">
            <v>PE Dir Sur</v>
          </cell>
          <cell r="E543" t="str">
            <v>PE Ger P3 Tacna</v>
          </cell>
          <cell r="F543">
            <v>0</v>
          </cell>
          <cell r="G543">
            <v>2</v>
          </cell>
          <cell r="H543">
            <v>2</v>
          </cell>
          <cell r="I543">
            <v>0</v>
          </cell>
          <cell r="J543">
            <v>0</v>
          </cell>
          <cell r="K543">
            <v>0</v>
          </cell>
        </row>
        <row r="544">
          <cell r="A544">
            <v>10138424</v>
          </cell>
          <cell r="B544" t="str">
            <v>'10138424',</v>
          </cell>
          <cell r="C544" t="str">
            <v>Recreo wado</v>
          </cell>
          <cell r="D544" t="str">
            <v>PE Dir Centro Orient</v>
          </cell>
          <cell r="E544" t="str">
            <v>PE Ger P4 Pucall Hco</v>
          </cell>
          <cell r="F544">
            <v>0</v>
          </cell>
          <cell r="G544">
            <v>2</v>
          </cell>
          <cell r="H544">
            <v>2</v>
          </cell>
          <cell r="I544">
            <v>0</v>
          </cell>
          <cell r="J544">
            <v>0</v>
          </cell>
          <cell r="K544">
            <v>0</v>
          </cell>
        </row>
        <row r="545">
          <cell r="A545">
            <v>13324133</v>
          </cell>
          <cell r="B545" t="str">
            <v>'13324133',</v>
          </cell>
          <cell r="C545" t="str">
            <v>Cevicheria Manolito</v>
          </cell>
          <cell r="D545" t="str">
            <v>PE Dir Lima</v>
          </cell>
          <cell r="E545" t="str">
            <v>PE Ger P1 Lima Centr</v>
          </cell>
          <cell r="F545">
            <v>0</v>
          </cell>
          <cell r="G545">
            <v>3</v>
          </cell>
          <cell r="H545">
            <v>3</v>
          </cell>
          <cell r="I545">
            <v>0</v>
          </cell>
          <cell r="J545">
            <v>2</v>
          </cell>
          <cell r="K545">
            <v>2</v>
          </cell>
        </row>
        <row r="546">
          <cell r="A546">
            <v>14423776</v>
          </cell>
          <cell r="B546" t="str">
            <v>'14423776',</v>
          </cell>
          <cell r="C546" t="str">
            <v>El pez escondido</v>
          </cell>
          <cell r="D546" t="str">
            <v>PE Dir Lima</v>
          </cell>
          <cell r="E546" t="str">
            <v>PE Ger P1 Norte Chi</v>
          </cell>
          <cell r="F546">
            <v>0</v>
          </cell>
          <cell r="G546">
            <v>4</v>
          </cell>
          <cell r="H546">
            <v>4</v>
          </cell>
          <cell r="I546">
            <v>0</v>
          </cell>
          <cell r="J546">
            <v>0</v>
          </cell>
          <cell r="K546">
            <v>0</v>
          </cell>
        </row>
        <row r="547">
          <cell r="A547">
            <v>11563550</v>
          </cell>
          <cell r="B547" t="str">
            <v>'11563550',</v>
          </cell>
          <cell r="C547" t="str">
            <v>Parral 3</v>
          </cell>
          <cell r="D547" t="str">
            <v>PE Dir Centro Orient</v>
          </cell>
          <cell r="E547" t="str">
            <v>PE Ger P4 Tarapoto</v>
          </cell>
          <cell r="F547">
            <v>0</v>
          </cell>
          <cell r="G547">
            <v>5</v>
          </cell>
          <cell r="H547">
            <v>5</v>
          </cell>
          <cell r="I547">
            <v>0</v>
          </cell>
          <cell r="J547">
            <v>0</v>
          </cell>
          <cell r="K547">
            <v>0</v>
          </cell>
        </row>
        <row r="548">
          <cell r="A548">
            <v>11368816</v>
          </cell>
          <cell r="B548" t="str">
            <v>'11368816',</v>
          </cell>
          <cell r="C548" t="str">
            <v>Cevicheria Puerto Marino</v>
          </cell>
          <cell r="D548" t="str">
            <v>PE Dir Lima</v>
          </cell>
          <cell r="E548" t="str">
            <v>PE Ger P1 Lima Centr</v>
          </cell>
          <cell r="F548">
            <v>1</v>
          </cell>
          <cell r="G548">
            <v>3</v>
          </cell>
          <cell r="H548">
            <v>4</v>
          </cell>
          <cell r="I548">
            <v>0</v>
          </cell>
          <cell r="J548">
            <v>1</v>
          </cell>
          <cell r="K548">
            <v>1</v>
          </cell>
        </row>
        <row r="549">
          <cell r="A549">
            <v>14241903</v>
          </cell>
          <cell r="B549" t="str">
            <v>'14241903',</v>
          </cell>
          <cell r="C549" t="str">
            <v>El Puerto Escondido</v>
          </cell>
          <cell r="D549" t="str">
            <v>PE Dir Lima</v>
          </cell>
          <cell r="E549" t="str">
            <v>PE Ger P1 Norte Chi</v>
          </cell>
          <cell r="F549">
            <v>0</v>
          </cell>
          <cell r="G549">
            <v>8</v>
          </cell>
          <cell r="H549">
            <v>8</v>
          </cell>
          <cell r="I549">
            <v>1</v>
          </cell>
          <cell r="J549">
            <v>0</v>
          </cell>
          <cell r="K549">
            <v>1</v>
          </cell>
        </row>
        <row r="550">
          <cell r="A550">
            <v>10139373</v>
          </cell>
          <cell r="B550" t="str">
            <v>'10139373',</v>
          </cell>
          <cell r="C550" t="str">
            <v>Rinconcito huanuqueño</v>
          </cell>
          <cell r="D550" t="str">
            <v>PE Dir Centro Orient</v>
          </cell>
          <cell r="E550" t="str">
            <v>PE Ger P4 Pucall Hco</v>
          </cell>
          <cell r="F550">
            <v>0</v>
          </cell>
          <cell r="G550">
            <v>2</v>
          </cell>
          <cell r="H550">
            <v>2</v>
          </cell>
          <cell r="I550">
            <v>0</v>
          </cell>
          <cell r="J550">
            <v>1</v>
          </cell>
          <cell r="K550">
            <v>1</v>
          </cell>
        </row>
        <row r="551">
          <cell r="A551">
            <v>13381643</v>
          </cell>
          <cell r="B551" t="str">
            <v>'13381643',</v>
          </cell>
          <cell r="C551" t="str">
            <v>El Gran Cherres</v>
          </cell>
          <cell r="D551" t="str">
            <v>PE Dir Lima</v>
          </cell>
          <cell r="E551" t="str">
            <v>PE Ger P1 Lima Oeste</v>
          </cell>
          <cell r="F551">
            <v>1</v>
          </cell>
          <cell r="G551">
            <v>2</v>
          </cell>
          <cell r="H551">
            <v>3</v>
          </cell>
          <cell r="I551">
            <v>0</v>
          </cell>
          <cell r="J551">
            <v>0</v>
          </cell>
          <cell r="K551">
            <v>0</v>
          </cell>
        </row>
        <row r="552">
          <cell r="A552">
            <v>14251032</v>
          </cell>
          <cell r="B552" t="str">
            <v>'14251032',</v>
          </cell>
          <cell r="C552" t="str">
            <v>PUNTO LIMON - LOS JARDINES</v>
          </cell>
          <cell r="D552" t="str">
            <v>PE Dir Lima</v>
          </cell>
          <cell r="E552" t="str">
            <v>PE Ger P1 Lima Centr</v>
          </cell>
          <cell r="F552">
            <v>0</v>
          </cell>
          <cell r="G552">
            <v>2</v>
          </cell>
          <cell r="H552">
            <v>2</v>
          </cell>
          <cell r="I552">
            <v>0</v>
          </cell>
          <cell r="J552">
            <v>1</v>
          </cell>
          <cell r="K552">
            <v>1</v>
          </cell>
        </row>
        <row r="553">
          <cell r="A553">
            <v>13864676</v>
          </cell>
          <cell r="B553" t="str">
            <v>'13864676',</v>
          </cell>
          <cell r="C553" t="str">
            <v>PUNTO LIMON - ZAFIROS</v>
          </cell>
          <cell r="D553" t="str">
            <v>PE Dir Lima</v>
          </cell>
          <cell r="E553" t="str">
            <v>PE Ger P1 Lima Centr</v>
          </cell>
          <cell r="F553">
            <v>0</v>
          </cell>
          <cell r="G553">
            <v>3</v>
          </cell>
          <cell r="H553">
            <v>3</v>
          </cell>
          <cell r="I553">
            <v>0</v>
          </cell>
          <cell r="J553">
            <v>1</v>
          </cell>
          <cell r="K553">
            <v>1</v>
          </cell>
        </row>
        <row r="554">
          <cell r="A554">
            <v>14014153</v>
          </cell>
          <cell r="B554" t="str">
            <v>'14014153',</v>
          </cell>
          <cell r="C554" t="str">
            <v>Cevichería el Delfín</v>
          </cell>
          <cell r="D554" t="str">
            <v>PE Dir Lima</v>
          </cell>
          <cell r="E554" t="str">
            <v>PE Ger P1 Lima Centr</v>
          </cell>
          <cell r="F554">
            <v>1</v>
          </cell>
          <cell r="G554">
            <v>2</v>
          </cell>
          <cell r="H554">
            <v>3</v>
          </cell>
          <cell r="I554">
            <v>0</v>
          </cell>
          <cell r="J554">
            <v>1</v>
          </cell>
          <cell r="K554">
            <v>1</v>
          </cell>
        </row>
        <row r="555">
          <cell r="A555">
            <v>14283729</v>
          </cell>
          <cell r="B555" t="str">
            <v>'14283729',</v>
          </cell>
          <cell r="C555" t="str">
            <v>Oscars Food sac</v>
          </cell>
          <cell r="D555" t="str">
            <v>PE Dir Lima</v>
          </cell>
          <cell r="E555" t="str">
            <v>PE Ger P1 Lima Oeste</v>
          </cell>
          <cell r="F555">
            <v>0</v>
          </cell>
          <cell r="G555">
            <v>1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</row>
        <row r="556">
          <cell r="A556">
            <v>10970818</v>
          </cell>
          <cell r="B556" t="str">
            <v>'10970818',</v>
          </cell>
          <cell r="C556" t="str">
            <v>El sabor de la vida</v>
          </cell>
          <cell r="D556" t="str">
            <v>PE Dir Lima</v>
          </cell>
          <cell r="E556" t="str">
            <v>PE Ger P1 Lima Norte</v>
          </cell>
          <cell r="F556">
            <v>0</v>
          </cell>
          <cell r="G556">
            <v>2</v>
          </cell>
          <cell r="H556">
            <v>2</v>
          </cell>
          <cell r="I556">
            <v>0</v>
          </cell>
          <cell r="J556">
            <v>0</v>
          </cell>
          <cell r="K556">
            <v>0</v>
          </cell>
        </row>
        <row r="557">
          <cell r="A557">
            <v>10184754</v>
          </cell>
          <cell r="B557" t="str">
            <v>'10184754',</v>
          </cell>
          <cell r="C557" t="str">
            <v>LA COCINA DEL VIRREY</v>
          </cell>
          <cell r="D557" t="str">
            <v>PE Dir Lima</v>
          </cell>
          <cell r="E557" t="str">
            <v>PE Ger P1 Lima Centr</v>
          </cell>
          <cell r="F557">
            <v>0</v>
          </cell>
          <cell r="G557">
            <v>2</v>
          </cell>
          <cell r="H557">
            <v>2</v>
          </cell>
          <cell r="I557">
            <v>0</v>
          </cell>
          <cell r="J557">
            <v>0</v>
          </cell>
          <cell r="K557">
            <v>0</v>
          </cell>
        </row>
        <row r="558">
          <cell r="A558">
            <v>14248284</v>
          </cell>
          <cell r="B558" t="str">
            <v>'14248284',</v>
          </cell>
          <cell r="C558" t="str">
            <v>El rinconcito sullanero</v>
          </cell>
          <cell r="D558" t="str">
            <v>PE Dir Lima</v>
          </cell>
          <cell r="E558" t="str">
            <v>PE Ger P1 Lima Sur</v>
          </cell>
          <cell r="F558">
            <v>0</v>
          </cell>
          <cell r="G558">
            <v>3</v>
          </cell>
          <cell r="H558">
            <v>3</v>
          </cell>
          <cell r="I558">
            <v>0</v>
          </cell>
          <cell r="J558">
            <v>0</v>
          </cell>
          <cell r="K558">
            <v>0</v>
          </cell>
        </row>
        <row r="559">
          <cell r="A559">
            <v>14414988</v>
          </cell>
          <cell r="B559" t="str">
            <v>'14414988',</v>
          </cell>
          <cell r="C559" t="str">
            <v>SEGUNDO MUELLE - BALBOA</v>
          </cell>
          <cell r="D559" t="str">
            <v>PE Dir Lima</v>
          </cell>
          <cell r="E559" t="str">
            <v>PE Ger P1 Lima Centr</v>
          </cell>
          <cell r="F559">
            <v>0</v>
          </cell>
          <cell r="G559">
            <v>1</v>
          </cell>
          <cell r="H559">
            <v>1</v>
          </cell>
          <cell r="I559">
            <v>0</v>
          </cell>
          <cell r="J559">
            <v>0</v>
          </cell>
          <cell r="K559">
            <v>0</v>
          </cell>
        </row>
        <row r="560">
          <cell r="A560">
            <v>13517536</v>
          </cell>
          <cell r="B560" t="str">
            <v>'13517536',</v>
          </cell>
          <cell r="C560" t="str">
            <v>Punto amazonico</v>
          </cell>
          <cell r="D560" t="str">
            <v>PE Dir Lima</v>
          </cell>
          <cell r="E560" t="str">
            <v>PE Ger P1 Lima Este</v>
          </cell>
          <cell r="F560">
            <v>0</v>
          </cell>
          <cell r="G560">
            <v>1</v>
          </cell>
          <cell r="H560">
            <v>1</v>
          </cell>
          <cell r="I560">
            <v>0</v>
          </cell>
          <cell r="J560">
            <v>0</v>
          </cell>
          <cell r="K560">
            <v>0</v>
          </cell>
        </row>
        <row r="561">
          <cell r="A561">
            <v>12874030</v>
          </cell>
          <cell r="B561" t="str">
            <v>'12874030',</v>
          </cell>
          <cell r="C561" t="str">
            <v>Puerto 47</v>
          </cell>
          <cell r="D561" t="str">
            <v>PE Dir Lima</v>
          </cell>
          <cell r="E561" t="str">
            <v>PE Ger P1 Lima Oeste</v>
          </cell>
          <cell r="F561">
            <v>0</v>
          </cell>
          <cell r="G561">
            <v>1</v>
          </cell>
          <cell r="H561">
            <v>1</v>
          </cell>
          <cell r="I561">
            <v>0</v>
          </cell>
          <cell r="J561">
            <v>0</v>
          </cell>
          <cell r="K561">
            <v>0</v>
          </cell>
        </row>
        <row r="562">
          <cell r="A562">
            <v>13542284</v>
          </cell>
          <cell r="B562" t="str">
            <v>'13542284',</v>
          </cell>
          <cell r="C562" t="str">
            <v>TA BUENAZO MANCORA</v>
          </cell>
          <cell r="D562" t="str">
            <v>PE Dir Norte</v>
          </cell>
          <cell r="E562" t="str">
            <v>PE Ger P2 Tumbes T</v>
          </cell>
          <cell r="F562">
            <v>1</v>
          </cell>
          <cell r="G562">
            <v>1</v>
          </cell>
          <cell r="H562">
            <v>2</v>
          </cell>
          <cell r="I562">
            <v>0</v>
          </cell>
          <cell r="J562">
            <v>0</v>
          </cell>
          <cell r="K562">
            <v>0</v>
          </cell>
        </row>
        <row r="563">
          <cell r="A563">
            <v>12754240</v>
          </cell>
          <cell r="B563" t="str">
            <v>'12754240',</v>
          </cell>
          <cell r="C563" t="str">
            <v>Pizzeria artesanal Torino</v>
          </cell>
          <cell r="D563" t="str">
            <v>PE Dir Norte</v>
          </cell>
          <cell r="E563" t="str">
            <v>PE Ger P2 Tumbes T</v>
          </cell>
          <cell r="F563">
            <v>1</v>
          </cell>
          <cell r="G563">
            <v>0</v>
          </cell>
          <cell r="H563">
            <v>1</v>
          </cell>
          <cell r="I563">
            <v>0</v>
          </cell>
          <cell r="J563">
            <v>0</v>
          </cell>
          <cell r="K563">
            <v>0</v>
          </cell>
        </row>
        <row r="564">
          <cell r="A564">
            <v>14190624</v>
          </cell>
          <cell r="B564" t="str">
            <v>'14190624',</v>
          </cell>
          <cell r="C564" t="str">
            <v>Cholos Restaurant</v>
          </cell>
          <cell r="D564" t="str">
            <v>PE Dir Norte</v>
          </cell>
          <cell r="E564" t="str">
            <v>PE Ger P2 Piura</v>
          </cell>
          <cell r="F564">
            <v>0</v>
          </cell>
          <cell r="G564">
            <v>3</v>
          </cell>
          <cell r="H564">
            <v>3</v>
          </cell>
          <cell r="I564">
            <v>0</v>
          </cell>
          <cell r="J564">
            <v>2</v>
          </cell>
          <cell r="K564">
            <v>2</v>
          </cell>
        </row>
        <row r="565">
          <cell r="A565">
            <v>12550406</v>
          </cell>
          <cell r="B565" t="str">
            <v>'12550406',</v>
          </cell>
          <cell r="C565" t="str">
            <v>La casa de Fabiola</v>
          </cell>
          <cell r="D565" t="str">
            <v>PE Dir Norte</v>
          </cell>
          <cell r="E565" t="str">
            <v>PE Ger P2 Piura</v>
          </cell>
          <cell r="F565">
            <v>0</v>
          </cell>
          <cell r="G565">
            <v>1</v>
          </cell>
          <cell r="H565">
            <v>1</v>
          </cell>
          <cell r="I565">
            <v>0</v>
          </cell>
          <cell r="J565">
            <v>0</v>
          </cell>
          <cell r="K565">
            <v>0</v>
          </cell>
        </row>
        <row r="566">
          <cell r="A566">
            <v>13939186</v>
          </cell>
          <cell r="B566" t="str">
            <v>'13939186',</v>
          </cell>
          <cell r="C566" t="str">
            <v>Bambú</v>
          </cell>
          <cell r="D566" t="str">
            <v>PE Dir Sur</v>
          </cell>
          <cell r="E566" t="str">
            <v>PE Ger P3 Tacna</v>
          </cell>
          <cell r="F566">
            <v>0</v>
          </cell>
          <cell r="G566">
            <v>5</v>
          </cell>
          <cell r="H566">
            <v>5</v>
          </cell>
          <cell r="I566">
            <v>0</v>
          </cell>
          <cell r="J566">
            <v>0</v>
          </cell>
          <cell r="K566">
            <v>0</v>
          </cell>
        </row>
        <row r="567">
          <cell r="A567">
            <v>14151903</v>
          </cell>
          <cell r="B567" t="str">
            <v>'14151903',</v>
          </cell>
          <cell r="C567" t="str">
            <v>La carreta españa</v>
          </cell>
          <cell r="D567" t="str">
            <v>PE Dir Sur</v>
          </cell>
          <cell r="E567" t="str">
            <v>PE Ger P3 Arequipa</v>
          </cell>
          <cell r="F567">
            <v>0</v>
          </cell>
          <cell r="G567">
            <v>2</v>
          </cell>
          <cell r="H567">
            <v>2</v>
          </cell>
          <cell r="I567">
            <v>0</v>
          </cell>
          <cell r="J567">
            <v>3</v>
          </cell>
          <cell r="K567">
            <v>3</v>
          </cell>
        </row>
        <row r="568">
          <cell r="A568">
            <v>11623051</v>
          </cell>
          <cell r="B568" t="str">
            <v>'11623051',</v>
          </cell>
          <cell r="C568" t="str">
            <v>No canjeo aún</v>
          </cell>
          <cell r="D568" t="str">
            <v>PE Dir Lima</v>
          </cell>
          <cell r="E568" t="str">
            <v>PE Ger P1 Lima Sur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A569">
            <v>10124193</v>
          </cell>
          <cell r="B569" t="str">
            <v>'10124193',</v>
          </cell>
          <cell r="C569" t="e">
            <v>#N/A</v>
          </cell>
          <cell r="D569" t="e">
            <v>#N/A</v>
          </cell>
          <cell r="E569" t="e">
            <v>#N/A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</row>
        <row r="570">
          <cell r="A570">
            <v>14203588</v>
          </cell>
          <cell r="B570" t="str">
            <v>'14203588',</v>
          </cell>
          <cell r="C570" t="str">
            <v>Rustica San Borja</v>
          </cell>
          <cell r="D570" t="str">
            <v>PE Dir Lima</v>
          </cell>
          <cell r="E570" t="str">
            <v>PE Ger P1 Lima Este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A571">
            <v>14204522</v>
          </cell>
          <cell r="B571" t="str">
            <v>'14204522',</v>
          </cell>
          <cell r="C571" t="str">
            <v>Rustica La Miraflores - Calle Las Pizzas</v>
          </cell>
          <cell r="D571" t="str">
            <v>PE Dir Lima</v>
          </cell>
          <cell r="E571" t="str">
            <v>PE Ger P1 Lima Centr</v>
          </cell>
          <cell r="F571">
            <v>0</v>
          </cell>
          <cell r="G571">
            <v>1</v>
          </cell>
          <cell r="H571">
            <v>1</v>
          </cell>
          <cell r="I571">
            <v>0</v>
          </cell>
          <cell r="J571">
            <v>0</v>
          </cell>
          <cell r="K571">
            <v>0</v>
          </cell>
        </row>
        <row r="572">
          <cell r="A572">
            <v>14305119</v>
          </cell>
          <cell r="B572" t="str">
            <v>'14305119',</v>
          </cell>
          <cell r="C572" t="str">
            <v>Rustica Barranco</v>
          </cell>
          <cell r="D572" t="str">
            <v>PE Dir Lima</v>
          </cell>
          <cell r="E572" t="str">
            <v>PE Ger P1 Lima Sur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</row>
        <row r="573">
          <cell r="A573">
            <v>10188390</v>
          </cell>
          <cell r="B573" t="str">
            <v>'10188390',</v>
          </cell>
          <cell r="C573" t="str">
            <v>No canjeo aún</v>
          </cell>
          <cell r="D573" t="str">
            <v>PE Dir Lima</v>
          </cell>
          <cell r="E573" t="str">
            <v>PE Ger P1 Lima Centr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</row>
        <row r="574">
          <cell r="A574">
            <v>14011983</v>
          </cell>
          <cell r="B574" t="str">
            <v>'14011983',</v>
          </cell>
          <cell r="C574" t="str">
            <v>MAICELO</v>
          </cell>
          <cell r="D574" t="str">
            <v>PE Dir Lima</v>
          </cell>
          <cell r="E574" t="str">
            <v>PE Ger P1 Lima Centr</v>
          </cell>
          <cell r="F574">
            <v>0</v>
          </cell>
          <cell r="G574">
            <v>1</v>
          </cell>
          <cell r="H574">
            <v>1</v>
          </cell>
          <cell r="I574">
            <v>1</v>
          </cell>
          <cell r="J574">
            <v>2</v>
          </cell>
          <cell r="K574">
            <v>3</v>
          </cell>
        </row>
        <row r="575">
          <cell r="A575">
            <v>14281861</v>
          </cell>
          <cell r="B575" t="str">
            <v>'14281861',</v>
          </cell>
          <cell r="C575" t="str">
            <v>No canjeo aún</v>
          </cell>
          <cell r="D575" t="str">
            <v>PE Dir Lima</v>
          </cell>
          <cell r="E575" t="str">
            <v>PE Ger P1 Lima Norte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</row>
        <row r="576">
          <cell r="A576">
            <v>14252913</v>
          </cell>
          <cell r="B576" t="str">
            <v>'14252913',</v>
          </cell>
          <cell r="C576" t="str">
            <v>Rustica Risso</v>
          </cell>
          <cell r="D576" t="str">
            <v>PE Dir Lima</v>
          </cell>
          <cell r="E576" t="str">
            <v>PE Ger P1 Lima Centr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</row>
        <row r="577">
          <cell r="A577">
            <v>13735875</v>
          </cell>
          <cell r="B577" t="str">
            <v>'13735875',</v>
          </cell>
          <cell r="C577" t="e">
            <v>#N/A</v>
          </cell>
          <cell r="D577" t="e">
            <v>#N/A</v>
          </cell>
          <cell r="E577" t="e">
            <v>#N/A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>
            <v>14204927</v>
          </cell>
          <cell r="B578" t="str">
            <v>'14204927',</v>
          </cell>
          <cell r="C578" t="str">
            <v>Rustica Fiori Plaza Norte</v>
          </cell>
          <cell r="D578" t="str">
            <v>PE Dir Lima</v>
          </cell>
          <cell r="E578" t="str">
            <v>PE Ger P1 Lima Norte</v>
          </cell>
          <cell r="F578">
            <v>0</v>
          </cell>
          <cell r="G578">
            <v>1</v>
          </cell>
          <cell r="H578">
            <v>1</v>
          </cell>
          <cell r="I578">
            <v>0</v>
          </cell>
          <cell r="J578">
            <v>0</v>
          </cell>
          <cell r="K578">
            <v>0</v>
          </cell>
        </row>
        <row r="579">
          <cell r="A579">
            <v>12579240</v>
          </cell>
          <cell r="B579" t="str">
            <v>'12579240',</v>
          </cell>
          <cell r="C579" t="e">
            <v>#N/A</v>
          </cell>
          <cell r="D579" t="e">
            <v>#N/A</v>
          </cell>
          <cell r="E579" t="e">
            <v>#N/A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</row>
        <row r="580">
          <cell r="A580">
            <v>14230983</v>
          </cell>
          <cell r="B580" t="str">
            <v>'14230983',</v>
          </cell>
          <cell r="C580" t="str">
            <v>El cebillano</v>
          </cell>
          <cell r="D580" t="str">
            <v>PE Dir Sur</v>
          </cell>
          <cell r="E580" t="str">
            <v>PE Ger P3 Arequipa</v>
          </cell>
          <cell r="F580">
            <v>0</v>
          </cell>
          <cell r="G580">
            <v>2</v>
          </cell>
          <cell r="H580">
            <v>2</v>
          </cell>
          <cell r="I580">
            <v>0</v>
          </cell>
          <cell r="J580">
            <v>0</v>
          </cell>
          <cell r="K580">
            <v>0</v>
          </cell>
        </row>
        <row r="581">
          <cell r="A581">
            <v>14289820</v>
          </cell>
          <cell r="B581" t="str">
            <v>'14289820',</v>
          </cell>
          <cell r="C581" t="str">
            <v>No canjeo aún</v>
          </cell>
          <cell r="D581" t="str">
            <v>PE Dir Norte</v>
          </cell>
          <cell r="E581" t="str">
            <v>PE Ger P2 Trujillo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</row>
        <row r="582">
          <cell r="A582">
            <v>14205182</v>
          </cell>
          <cell r="B582" t="str">
            <v>'14205182',</v>
          </cell>
          <cell r="C582" t="str">
            <v>Rustica La Marina</v>
          </cell>
          <cell r="D582" t="str">
            <v>PE Dir Lima</v>
          </cell>
          <cell r="E582" t="str">
            <v>PE Ger P1 Lima Oeste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</row>
        <row r="583">
          <cell r="A583">
            <v>14204925</v>
          </cell>
          <cell r="B583" t="str">
            <v>'14204925',</v>
          </cell>
          <cell r="C583" t="str">
            <v>Rustica Miraflores - Figari</v>
          </cell>
          <cell r="D583" t="str">
            <v>PE Dir Lima</v>
          </cell>
          <cell r="E583" t="str">
            <v>PE Ger P1 Lima Centr</v>
          </cell>
          <cell r="F583">
            <v>0</v>
          </cell>
          <cell r="G583">
            <v>1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</row>
        <row r="584">
          <cell r="A584">
            <v>12925715</v>
          </cell>
          <cell r="B584" t="str">
            <v>'12925715',</v>
          </cell>
          <cell r="C584" t="str">
            <v>Rustica Mall Santa Anita</v>
          </cell>
          <cell r="D584" t="str">
            <v>PE Dir Lima</v>
          </cell>
          <cell r="E584" t="str">
            <v>PE Ger P1 Lima Este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</row>
        <row r="585">
          <cell r="A585">
            <v>14204938</v>
          </cell>
          <cell r="B585" t="str">
            <v>'14204938',</v>
          </cell>
          <cell r="C585" t="str">
            <v>Rustica Chimu</v>
          </cell>
          <cell r="D585" t="str">
            <v>PE Dir Lima</v>
          </cell>
          <cell r="E585" t="str">
            <v>PE Ger P1 Lima Centr</v>
          </cell>
          <cell r="F585">
            <v>0</v>
          </cell>
          <cell r="G585">
            <v>1</v>
          </cell>
          <cell r="H585">
            <v>1</v>
          </cell>
          <cell r="I585">
            <v>0</v>
          </cell>
          <cell r="J585">
            <v>0</v>
          </cell>
          <cell r="K585">
            <v>0</v>
          </cell>
        </row>
        <row r="586">
          <cell r="A586">
            <v>14205184</v>
          </cell>
          <cell r="B586" t="str">
            <v>'14205184',</v>
          </cell>
          <cell r="C586" t="str">
            <v>Estribor</v>
          </cell>
          <cell r="D586" t="str">
            <v>PE Dir Lima</v>
          </cell>
          <cell r="E586" t="str">
            <v>PE Ger P1 Lima Oeste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</row>
        <row r="587">
          <cell r="A587">
            <v>14004225</v>
          </cell>
          <cell r="B587" t="str">
            <v>'14004225',</v>
          </cell>
          <cell r="C587" t="str">
            <v>Mercado Santa Marina</v>
          </cell>
          <cell r="D587" t="str">
            <v>PE Dir Lima</v>
          </cell>
          <cell r="E587" t="str">
            <v>PE Ger P1 Lima Sur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</row>
        <row r="588">
          <cell r="A588">
            <v>14205808</v>
          </cell>
          <cell r="B588" t="str">
            <v>'14205808',</v>
          </cell>
          <cell r="C588" t="str">
            <v>Rustica Mall Bellavista</v>
          </cell>
          <cell r="D588" t="str">
            <v>PE Dir Lima</v>
          </cell>
          <cell r="E588" t="str">
            <v>PE Ger P1 Lima Oeste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>
            <v>10641372</v>
          </cell>
          <cell r="B589" t="str">
            <v>'10641372',</v>
          </cell>
          <cell r="C589" t="str">
            <v>La Cancha</v>
          </cell>
          <cell r="D589" t="str">
            <v>PE Dir Lima</v>
          </cell>
          <cell r="E589" t="str">
            <v>PE Ger P1 Lima Oeste</v>
          </cell>
          <cell r="F589">
            <v>0</v>
          </cell>
          <cell r="G589">
            <v>1</v>
          </cell>
          <cell r="H589">
            <v>1</v>
          </cell>
          <cell r="I589">
            <v>1</v>
          </cell>
          <cell r="J589">
            <v>0</v>
          </cell>
          <cell r="K589">
            <v>1</v>
          </cell>
        </row>
        <row r="590">
          <cell r="A590">
            <v>14305135</v>
          </cell>
          <cell r="B590" t="str">
            <v>'14305135',</v>
          </cell>
          <cell r="C590" t="str">
            <v>Rustica San Juan</v>
          </cell>
          <cell r="D590" t="str">
            <v>PE Dir Lima</v>
          </cell>
          <cell r="E590" t="str">
            <v>PE Ger P1 Lima Sur</v>
          </cell>
          <cell r="F590">
            <v>0</v>
          </cell>
          <cell r="G590">
            <v>1</v>
          </cell>
          <cell r="H590">
            <v>1</v>
          </cell>
          <cell r="I590">
            <v>0</v>
          </cell>
          <cell r="J590">
            <v>0</v>
          </cell>
          <cell r="K590">
            <v>0</v>
          </cell>
        </row>
        <row r="591">
          <cell r="A591">
            <v>13880746</v>
          </cell>
          <cell r="B591" t="str">
            <v>'13880746',</v>
          </cell>
          <cell r="C591" t="str">
            <v>Rustica Proceres San Juan de Lurigancho</v>
          </cell>
          <cell r="D591" t="str">
            <v>PE Dir Lima</v>
          </cell>
          <cell r="E591" t="str">
            <v>PE Ger P1 Lima Centr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</row>
        <row r="592">
          <cell r="A592">
            <v>13796933</v>
          </cell>
          <cell r="B592" t="str">
            <v>'13796933',</v>
          </cell>
          <cell r="C592" t="str">
            <v>Rustica Santa Clara</v>
          </cell>
          <cell r="D592" t="str">
            <v>PE Dir Lima</v>
          </cell>
          <cell r="E592" t="str">
            <v>PE Ger P1 Lima Este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</row>
        <row r="593">
          <cell r="A593">
            <v>14325307</v>
          </cell>
          <cell r="B593" t="str">
            <v>'14325307',</v>
          </cell>
          <cell r="C593" t="str">
            <v>Rustica Mall del Sur</v>
          </cell>
          <cell r="D593" t="str">
            <v>PE Dir Lima</v>
          </cell>
          <cell r="E593" t="str">
            <v>PE Ger P1 Lima Sur</v>
          </cell>
          <cell r="F593">
            <v>0</v>
          </cell>
          <cell r="G593">
            <v>1</v>
          </cell>
          <cell r="H593">
            <v>1</v>
          </cell>
          <cell r="I593">
            <v>0</v>
          </cell>
          <cell r="J593">
            <v>0</v>
          </cell>
          <cell r="K593">
            <v>0</v>
          </cell>
        </row>
        <row r="594">
          <cell r="A594">
            <v>14356865</v>
          </cell>
          <cell r="B594" t="str">
            <v>'14356865',</v>
          </cell>
          <cell r="C594" t="str">
            <v>Rustica Villa El Salvador</v>
          </cell>
          <cell r="D594" t="str">
            <v>PE Dir Lima</v>
          </cell>
          <cell r="E594" t="str">
            <v>PE Ger P1 Lima Sur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</row>
        <row r="595">
          <cell r="A595">
            <v>14293642</v>
          </cell>
          <cell r="B595" t="str">
            <v>'14293642',</v>
          </cell>
          <cell r="C595" t="str">
            <v>Donde yolo 1</v>
          </cell>
          <cell r="D595" t="str">
            <v>PE Dir Lima</v>
          </cell>
          <cell r="E595" t="str">
            <v>PE Ger P1 Lima Oeste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</row>
        <row r="596">
          <cell r="A596">
            <v>13492303</v>
          </cell>
          <cell r="B596" t="str">
            <v>'13492303',</v>
          </cell>
          <cell r="C596" t="str">
            <v>SEGUNDO MUELLE - CONQUISTADORES</v>
          </cell>
          <cell r="D596" t="str">
            <v>PE Dir Lima</v>
          </cell>
          <cell r="E596" t="str">
            <v>PE Ger P1 Lima Centr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</row>
        <row r="597">
          <cell r="A597">
            <v>13852026</v>
          </cell>
          <cell r="B597" t="str">
            <v>'13852026',</v>
          </cell>
          <cell r="C597" t="str">
            <v>SALTAO REFUGIO</v>
          </cell>
          <cell r="D597" t="str">
            <v>PE Dir Lima</v>
          </cell>
          <cell r="E597" t="str">
            <v>PE Ger P1 Lima Centr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</row>
        <row r="598">
          <cell r="A598">
            <v>14373796</v>
          </cell>
          <cell r="B598" t="str">
            <v>'14373796',</v>
          </cell>
          <cell r="C598" t="str">
            <v>No canjeo aún</v>
          </cell>
          <cell r="D598" t="str">
            <v>PE Dir Norte</v>
          </cell>
          <cell r="E598" t="str">
            <v>PE Ger P2 Chiclay Ca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</row>
        <row r="599">
          <cell r="A599">
            <v>14344535</v>
          </cell>
          <cell r="B599" t="str">
            <v>'14344535',</v>
          </cell>
          <cell r="C599" t="str">
            <v>La Fragata Norteña</v>
          </cell>
          <cell r="D599" t="str">
            <v>PE Dir Norte</v>
          </cell>
          <cell r="E599" t="str">
            <v>PE Ger P2 Piura</v>
          </cell>
          <cell r="F599">
            <v>0</v>
          </cell>
          <cell r="G599">
            <v>17</v>
          </cell>
          <cell r="H599">
            <v>17</v>
          </cell>
          <cell r="I599">
            <v>0</v>
          </cell>
          <cell r="J599">
            <v>0</v>
          </cell>
          <cell r="K599">
            <v>0</v>
          </cell>
        </row>
        <row r="600">
          <cell r="A600">
            <v>13884605</v>
          </cell>
          <cell r="B600" t="str">
            <v>'13884605',</v>
          </cell>
          <cell r="C600" t="str">
            <v>SEGUNDO MUELLE - CANAVAL Y MOREYRA</v>
          </cell>
          <cell r="D600" t="str">
            <v>PE Dir Lima</v>
          </cell>
          <cell r="E600" t="str">
            <v>PE Ger P1 Lima Centr</v>
          </cell>
          <cell r="F600">
            <v>0</v>
          </cell>
          <cell r="G600">
            <v>0</v>
          </cell>
          <cell r="H600">
            <v>0</v>
          </cell>
          <cell r="I600">
            <v>1</v>
          </cell>
          <cell r="J600">
            <v>0</v>
          </cell>
          <cell r="K600">
            <v>1</v>
          </cell>
        </row>
        <row r="601">
          <cell r="A601">
            <v>11861421</v>
          </cell>
          <cell r="B601" t="str">
            <v>'11861421',</v>
          </cell>
          <cell r="C601" t="str">
            <v>SEGUNDO MUELLE</v>
          </cell>
          <cell r="D601" t="str">
            <v>PE Dir Lima</v>
          </cell>
          <cell r="E601" t="str">
            <v>PE Ger P1 Lima Centr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</row>
        <row r="602">
          <cell r="A602">
            <v>12992866</v>
          </cell>
          <cell r="B602" t="str">
            <v>'12992866',</v>
          </cell>
          <cell r="C602" t="str">
            <v>No canjeo aún</v>
          </cell>
          <cell r="D602" t="str">
            <v>PE Dir Norte</v>
          </cell>
          <cell r="E602" t="str">
            <v>PE Ger P2 Chiclay Ca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</row>
        <row r="603">
          <cell r="A603">
            <v>13492290</v>
          </cell>
          <cell r="B603" t="str">
            <v>'13492290',</v>
          </cell>
          <cell r="C603" t="str">
            <v>SEGUNDO MUELLE ENCALADA</v>
          </cell>
          <cell r="D603" t="str">
            <v>PE Dir Lima</v>
          </cell>
          <cell r="E603" t="str">
            <v>PE Ger P1 Lima Centr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1</v>
          </cell>
          <cell r="K603">
            <v>1</v>
          </cell>
        </row>
        <row r="604">
          <cell r="A604">
            <v>14204939</v>
          </cell>
          <cell r="B604" t="str">
            <v>'14204939',</v>
          </cell>
          <cell r="C604" t="str">
            <v>Rustica Canto Rey</v>
          </cell>
          <cell r="D604" t="str">
            <v>PE Dir Lima</v>
          </cell>
          <cell r="E604" t="str">
            <v>PE Ger P1 Lima Centr</v>
          </cell>
          <cell r="F604">
            <v>0</v>
          </cell>
          <cell r="G604">
            <v>1</v>
          </cell>
          <cell r="H604">
            <v>1</v>
          </cell>
          <cell r="I604">
            <v>0</v>
          </cell>
          <cell r="J604">
            <v>0</v>
          </cell>
          <cell r="K604">
            <v>0</v>
          </cell>
        </row>
        <row r="605">
          <cell r="A605">
            <v>14236530</v>
          </cell>
          <cell r="B605" t="str">
            <v>'14236530',</v>
          </cell>
          <cell r="C605" t="str">
            <v>D kyara Anticucheria Peruana</v>
          </cell>
          <cell r="D605" t="str">
            <v>PE Dir Lima</v>
          </cell>
          <cell r="E605" t="str">
            <v>PE Ger P1 Lima Este</v>
          </cell>
          <cell r="F605">
            <v>0</v>
          </cell>
          <cell r="G605">
            <v>1</v>
          </cell>
          <cell r="H605">
            <v>1</v>
          </cell>
          <cell r="I605">
            <v>0</v>
          </cell>
          <cell r="J605">
            <v>0</v>
          </cell>
          <cell r="K605">
            <v>0</v>
          </cell>
        </row>
        <row r="606">
          <cell r="A606">
            <v>11484885</v>
          </cell>
          <cell r="B606" t="str">
            <v>'11484885',</v>
          </cell>
          <cell r="C606" t="str">
            <v>CEVICHON</v>
          </cell>
          <cell r="D606" t="str">
            <v>PE Dir Lima</v>
          </cell>
          <cell r="E606" t="str">
            <v>PE Ger P1 Lima Este</v>
          </cell>
          <cell r="F606">
            <v>0</v>
          </cell>
          <cell r="G606">
            <v>1</v>
          </cell>
          <cell r="H606">
            <v>1</v>
          </cell>
          <cell r="I606">
            <v>0</v>
          </cell>
          <cell r="J606">
            <v>0</v>
          </cell>
          <cell r="K606">
            <v>0</v>
          </cell>
        </row>
        <row r="607">
          <cell r="A607">
            <v>13197372</v>
          </cell>
          <cell r="B607" t="str">
            <v>'13197372',</v>
          </cell>
          <cell r="C607" t="str">
            <v>El Cerezo</v>
          </cell>
          <cell r="D607" t="str">
            <v>PE Dir Norte</v>
          </cell>
          <cell r="E607" t="str">
            <v>PE Ger P2 Chiclay Ca</v>
          </cell>
          <cell r="F607">
            <v>0</v>
          </cell>
          <cell r="G607">
            <v>13</v>
          </cell>
          <cell r="H607">
            <v>13</v>
          </cell>
          <cell r="I607">
            <v>0</v>
          </cell>
          <cell r="J607">
            <v>0</v>
          </cell>
          <cell r="K607">
            <v>0</v>
          </cell>
        </row>
        <row r="608">
          <cell r="A608">
            <v>14484603</v>
          </cell>
          <cell r="B608" t="str">
            <v>'14484603',</v>
          </cell>
          <cell r="C608" t="e">
            <v>#N/A</v>
          </cell>
          <cell r="D608" t="e">
            <v>#N/A</v>
          </cell>
          <cell r="E608" t="e">
            <v>#N/A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1</v>
          </cell>
          <cell r="K608">
            <v>1</v>
          </cell>
        </row>
        <row r="609">
          <cell r="A609">
            <v>11730674</v>
          </cell>
          <cell r="B609" t="str">
            <v>'11730674',</v>
          </cell>
          <cell r="C609" t="str">
            <v>dcostumbres</v>
          </cell>
          <cell r="D609" t="str">
            <v>PE Dir Norte</v>
          </cell>
          <cell r="E609" t="str">
            <v>PE Ger P2 Trujillo</v>
          </cell>
          <cell r="F609">
            <v>0</v>
          </cell>
          <cell r="G609">
            <v>6</v>
          </cell>
          <cell r="H609">
            <v>6</v>
          </cell>
          <cell r="I609">
            <v>0</v>
          </cell>
          <cell r="J609">
            <v>0</v>
          </cell>
          <cell r="K609">
            <v>0</v>
          </cell>
        </row>
        <row r="610">
          <cell r="A610">
            <v>10238868</v>
          </cell>
          <cell r="B610" t="str">
            <v>'10238868',</v>
          </cell>
          <cell r="C610" t="str">
            <v>PUNTA SAL - CISNEROS</v>
          </cell>
          <cell r="D610" t="str">
            <v>PE Dir Lima</v>
          </cell>
          <cell r="E610" t="str">
            <v>PE Ger P1 Lima Centr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</row>
        <row r="611">
          <cell r="A611">
            <v>11598109</v>
          </cell>
          <cell r="B611" t="str">
            <v>'11598109',</v>
          </cell>
          <cell r="C611" t="str">
            <v>Brasuca</v>
          </cell>
          <cell r="D611" t="str">
            <v>PE Dir Lima</v>
          </cell>
          <cell r="E611" t="str">
            <v>PE Ger P1 Lima Centr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</row>
        <row r="612">
          <cell r="A612">
            <v>14343225</v>
          </cell>
          <cell r="B612" t="str">
            <v>'14343225',</v>
          </cell>
          <cell r="C612" t="str">
            <v>Rustica Retablo</v>
          </cell>
          <cell r="D612" t="str">
            <v>PE Dir Lima</v>
          </cell>
          <cell r="E612" t="str">
            <v>PE Ger P1 Lima Norte</v>
          </cell>
          <cell r="F612">
            <v>0</v>
          </cell>
          <cell r="G612">
            <v>1</v>
          </cell>
          <cell r="H612">
            <v>1</v>
          </cell>
          <cell r="I612">
            <v>0</v>
          </cell>
          <cell r="J612">
            <v>0</v>
          </cell>
          <cell r="K612">
            <v>0</v>
          </cell>
        </row>
        <row r="613">
          <cell r="A613">
            <v>13737108</v>
          </cell>
          <cell r="B613" t="str">
            <v>'13737108',</v>
          </cell>
          <cell r="C613" t="str">
            <v>No canjeo aún</v>
          </cell>
          <cell r="D613" t="str">
            <v>PE Dir Lima</v>
          </cell>
          <cell r="E613" t="str">
            <v>PE Ger P1 Lima Oeste</v>
          </cell>
          <cell r="F613">
            <v>0</v>
          </cell>
          <cell r="G613">
            <v>0</v>
          </cell>
          <cell r="H613">
            <v>0</v>
          </cell>
          <cell r="I613">
            <v>1</v>
          </cell>
          <cell r="J613">
            <v>0</v>
          </cell>
          <cell r="K613">
            <v>1</v>
          </cell>
        </row>
        <row r="614">
          <cell r="A614">
            <v>13531399</v>
          </cell>
          <cell r="B614" t="str">
            <v>'13531399',</v>
          </cell>
          <cell r="C614" t="str">
            <v>Rustica Palmeras</v>
          </cell>
          <cell r="D614" t="str">
            <v>PE Dir Lima</v>
          </cell>
          <cell r="E614" t="str">
            <v>PE Ger P1 Lima Oeste</v>
          </cell>
          <cell r="F614">
            <v>0</v>
          </cell>
          <cell r="G614">
            <v>2</v>
          </cell>
          <cell r="H614">
            <v>2</v>
          </cell>
          <cell r="I614">
            <v>0</v>
          </cell>
          <cell r="J614">
            <v>0</v>
          </cell>
          <cell r="K614">
            <v>0</v>
          </cell>
        </row>
        <row r="615">
          <cell r="A615">
            <v>10182526</v>
          </cell>
          <cell r="B615" t="str">
            <v>'10182526',</v>
          </cell>
          <cell r="C615" t="str">
            <v>Punto Picante</v>
          </cell>
          <cell r="D615" t="str">
            <v>PE Dir Lima</v>
          </cell>
          <cell r="E615" t="str">
            <v>PE Ger P1 Lima Centr</v>
          </cell>
          <cell r="F615">
            <v>0</v>
          </cell>
          <cell r="G615">
            <v>2</v>
          </cell>
          <cell r="H615">
            <v>2</v>
          </cell>
          <cell r="I615">
            <v>0</v>
          </cell>
          <cell r="J615">
            <v>0</v>
          </cell>
          <cell r="K615">
            <v>0</v>
          </cell>
        </row>
        <row r="616">
          <cell r="A616">
            <v>10032708</v>
          </cell>
          <cell r="B616" t="str">
            <v>'10032708',</v>
          </cell>
          <cell r="C616" t="str">
            <v>Bungalows Spilberg</v>
          </cell>
          <cell r="D616" t="str">
            <v>PE Dir Norte</v>
          </cell>
          <cell r="E616" t="str">
            <v>PE Ger P2 Piura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</row>
        <row r="617">
          <cell r="A617">
            <v>14367718</v>
          </cell>
          <cell r="B617" t="str">
            <v>'14367718',</v>
          </cell>
          <cell r="C617" t="str">
            <v>Tupay Gastrobar</v>
          </cell>
          <cell r="D617" t="str">
            <v>PE Dir Sur</v>
          </cell>
          <cell r="E617" t="str">
            <v>PE Ger P3 Puno</v>
          </cell>
          <cell r="F617">
            <v>0</v>
          </cell>
          <cell r="G617">
            <v>5</v>
          </cell>
          <cell r="H617">
            <v>5</v>
          </cell>
          <cell r="I617">
            <v>0</v>
          </cell>
          <cell r="J617">
            <v>0</v>
          </cell>
          <cell r="K617">
            <v>0</v>
          </cell>
        </row>
        <row r="618">
          <cell r="A618">
            <v>10114872</v>
          </cell>
          <cell r="B618" t="str">
            <v>'10114872',</v>
          </cell>
          <cell r="C618" t="e">
            <v>#N/A</v>
          </cell>
          <cell r="D618" t="e">
            <v>#N/A</v>
          </cell>
          <cell r="E618" t="e">
            <v>#N/A</v>
          </cell>
          <cell r="F618">
            <v>0</v>
          </cell>
          <cell r="G618">
            <v>1</v>
          </cell>
          <cell r="H618">
            <v>1</v>
          </cell>
          <cell r="I618">
            <v>0</v>
          </cell>
          <cell r="J618">
            <v>0</v>
          </cell>
          <cell r="K618">
            <v>0</v>
          </cell>
        </row>
        <row r="619">
          <cell r="A619">
            <v>12391812</v>
          </cell>
          <cell r="B619" t="str">
            <v>'12391812',</v>
          </cell>
          <cell r="C619" t="str">
            <v>LA PICADA - MAGDALENA</v>
          </cell>
          <cell r="D619" t="str">
            <v>PE Dir Lima</v>
          </cell>
          <cell r="E619" t="str">
            <v>PE Ger P1 Lima Centr</v>
          </cell>
          <cell r="F619">
            <v>0</v>
          </cell>
          <cell r="G619">
            <v>0</v>
          </cell>
          <cell r="H619">
            <v>0</v>
          </cell>
          <cell r="I619">
            <v>1</v>
          </cell>
          <cell r="J619">
            <v>1</v>
          </cell>
          <cell r="K619">
            <v>2</v>
          </cell>
        </row>
        <row r="620">
          <cell r="A620">
            <v>14203586</v>
          </cell>
          <cell r="B620" t="str">
            <v>'14203586',</v>
          </cell>
          <cell r="C620" t="str">
            <v>Rustica Tarapaca</v>
          </cell>
          <cell r="D620" t="str">
            <v>PE Dir Lima</v>
          </cell>
          <cell r="E620" t="str">
            <v>PE Ger P1 Lima Centr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</row>
        <row r="621">
          <cell r="A621">
            <v>10188465</v>
          </cell>
          <cell r="B621" t="str">
            <v>'10188465',</v>
          </cell>
          <cell r="C621" t="str">
            <v>PUNTA SAL</v>
          </cell>
          <cell r="D621" t="str">
            <v>PE Dir Lima</v>
          </cell>
          <cell r="E621" t="str">
            <v>PE Ger P1 Lima Este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</row>
        <row r="622">
          <cell r="A622">
            <v>13880712</v>
          </cell>
          <cell r="B622" t="str">
            <v>'13880712',</v>
          </cell>
          <cell r="C622" t="str">
            <v>Rustica Santa Anita</v>
          </cell>
          <cell r="D622" t="str">
            <v>PE Dir Lima</v>
          </cell>
          <cell r="E622" t="str">
            <v>PE Ger P1 Lima Este</v>
          </cell>
          <cell r="F622">
            <v>0</v>
          </cell>
          <cell r="G622">
            <v>1</v>
          </cell>
          <cell r="H622">
            <v>1</v>
          </cell>
          <cell r="I622">
            <v>0</v>
          </cell>
          <cell r="J622">
            <v>0</v>
          </cell>
          <cell r="K622">
            <v>0</v>
          </cell>
        </row>
        <row r="623">
          <cell r="A623">
            <v>13849696</v>
          </cell>
          <cell r="B623" t="str">
            <v>'13849696',</v>
          </cell>
          <cell r="C623" t="str">
            <v>Las 10 lucas de pino</v>
          </cell>
          <cell r="D623" t="str">
            <v>PE Dir Norte</v>
          </cell>
          <cell r="E623" t="str">
            <v>PE Ger P2 Tumbes T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>
            <v>14223657</v>
          </cell>
          <cell r="B624" t="str">
            <v>'14223657',</v>
          </cell>
          <cell r="C624" t="str">
            <v>No canjeo aún</v>
          </cell>
          <cell r="D624" t="str">
            <v>PE Dir Norte</v>
          </cell>
          <cell r="E624" t="str">
            <v>PE Ger P2 Chiclay Ca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</row>
        <row r="625">
          <cell r="A625">
            <v>13170800</v>
          </cell>
          <cell r="B625" t="str">
            <v>'13170800',</v>
          </cell>
          <cell r="C625" t="str">
            <v>No canjeo aún</v>
          </cell>
          <cell r="D625" t="str">
            <v>PE Dir Lima</v>
          </cell>
          <cell r="E625" t="str">
            <v>PE Ger P1 Lima Centr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</row>
        <row r="626">
          <cell r="A626">
            <v>14305016</v>
          </cell>
          <cell r="B626" t="str">
            <v>'14305016',</v>
          </cell>
          <cell r="C626" t="str">
            <v>Rustica Mega Plaza</v>
          </cell>
          <cell r="D626" t="str">
            <v>PE Dir Lima</v>
          </cell>
          <cell r="E626" t="str">
            <v>PE Ger P1 Lima Norte</v>
          </cell>
          <cell r="F626">
            <v>0</v>
          </cell>
          <cell r="G626">
            <v>2</v>
          </cell>
          <cell r="H626">
            <v>2</v>
          </cell>
          <cell r="I626">
            <v>0</v>
          </cell>
          <cell r="J626">
            <v>0</v>
          </cell>
          <cell r="K626">
            <v>0</v>
          </cell>
        </row>
        <row r="627">
          <cell r="A627">
            <v>11065632</v>
          </cell>
          <cell r="B627" t="str">
            <v>'11065632',</v>
          </cell>
          <cell r="C627" t="str">
            <v>Mar y Mar</v>
          </cell>
          <cell r="D627" t="str">
            <v>PE Dir Sur</v>
          </cell>
          <cell r="E627" t="str">
            <v>PE Ger P3 Sur Chico</v>
          </cell>
          <cell r="F627">
            <v>0</v>
          </cell>
          <cell r="G627">
            <v>24</v>
          </cell>
          <cell r="H627">
            <v>24</v>
          </cell>
          <cell r="I627">
            <v>0</v>
          </cell>
          <cell r="J627">
            <v>0</v>
          </cell>
          <cell r="K627">
            <v>0</v>
          </cell>
        </row>
        <row r="628">
          <cell r="A628">
            <v>14443713</v>
          </cell>
          <cell r="B628" t="str">
            <v>'14443713',</v>
          </cell>
          <cell r="C628" t="str">
            <v>Hotel Noelani</v>
          </cell>
          <cell r="D628" t="str">
            <v>PE Dir Norte</v>
          </cell>
          <cell r="E628" t="str">
            <v>PE Ger P2 Tumbes T</v>
          </cell>
          <cell r="F628">
            <v>0</v>
          </cell>
          <cell r="G628">
            <v>1</v>
          </cell>
          <cell r="H628">
            <v>1</v>
          </cell>
          <cell r="I628">
            <v>1</v>
          </cell>
          <cell r="J628">
            <v>0</v>
          </cell>
          <cell r="K628">
            <v>1</v>
          </cell>
        </row>
        <row r="629">
          <cell r="A629">
            <v>14386724</v>
          </cell>
          <cell r="B629" t="str">
            <v>'14386724',</v>
          </cell>
          <cell r="C629" t="str">
            <v>La casa del ceviche</v>
          </cell>
          <cell r="D629" t="str">
            <v>PE Dir Centro Orient</v>
          </cell>
          <cell r="E629" t="str">
            <v>PE Ger P4 Tarapoto</v>
          </cell>
          <cell r="F629">
            <v>0</v>
          </cell>
          <cell r="G629">
            <v>2</v>
          </cell>
          <cell r="H629">
            <v>2</v>
          </cell>
          <cell r="I629">
            <v>0</v>
          </cell>
          <cell r="J629">
            <v>0</v>
          </cell>
          <cell r="K629">
            <v>0</v>
          </cell>
        </row>
        <row r="630">
          <cell r="A630">
            <v>11757872</v>
          </cell>
          <cell r="B630" t="str">
            <v>'11757872',</v>
          </cell>
          <cell r="C630" t="str">
            <v>Piscis Cebicheria Peruana San Miguel</v>
          </cell>
          <cell r="D630" t="str">
            <v>PE Dir Lima</v>
          </cell>
          <cell r="E630" t="str">
            <v>PE Ger P1 Lima Oeste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2</v>
          </cell>
          <cell r="K630">
            <v>2</v>
          </cell>
        </row>
        <row r="631">
          <cell r="A631">
            <v>14188505</v>
          </cell>
          <cell r="B631" t="str">
            <v>'14188505',</v>
          </cell>
          <cell r="C631" t="str">
            <v>Challwa 1507</v>
          </cell>
          <cell r="D631" t="str">
            <v>PE Dir Lima</v>
          </cell>
          <cell r="E631" t="str">
            <v>PE Ger P1 Lima Oeste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</row>
        <row r="632">
          <cell r="A632">
            <v>14208279</v>
          </cell>
          <cell r="B632" t="str">
            <v>'14208279',</v>
          </cell>
          <cell r="C632" t="str">
            <v>Rustica Minka</v>
          </cell>
          <cell r="D632" t="str">
            <v>PE Dir Lima</v>
          </cell>
          <cell r="E632" t="str">
            <v>PE Ger P1 Lima Oeste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</row>
        <row r="633">
          <cell r="A633">
            <v>11591721</v>
          </cell>
          <cell r="B633" t="str">
            <v>'11591721',</v>
          </cell>
          <cell r="C633" t="str">
            <v>No canjeo aún</v>
          </cell>
          <cell r="D633" t="str">
            <v>PE Dir Lima</v>
          </cell>
          <cell r="E633" t="str">
            <v>PE Ger P1 Lima Sur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</row>
        <row r="634">
          <cell r="A634">
            <v>13511595</v>
          </cell>
          <cell r="B634" t="str">
            <v>'13511595',</v>
          </cell>
          <cell r="C634" t="str">
            <v>Rustica Perú 3</v>
          </cell>
          <cell r="D634" t="str">
            <v>PE Dir Lima</v>
          </cell>
          <cell r="E634" t="str">
            <v>PE Ger P1 Lima Oeste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</row>
        <row r="635">
          <cell r="A635">
            <v>14226729</v>
          </cell>
          <cell r="B635" t="str">
            <v>'14226729',</v>
          </cell>
          <cell r="C635" t="str">
            <v>No canjeo aún</v>
          </cell>
          <cell r="D635" t="str">
            <v>PE Dir Norte</v>
          </cell>
          <cell r="E635" t="str">
            <v>PE Ger P2 Trujillo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</row>
        <row r="636">
          <cell r="A636">
            <v>12106446</v>
          </cell>
          <cell r="B636" t="str">
            <v>'12106446',</v>
          </cell>
          <cell r="C636" t="str">
            <v>Restaurant Cevicheria TOTEM</v>
          </cell>
          <cell r="D636" t="str">
            <v>PE Dir Norte</v>
          </cell>
          <cell r="E636" t="str">
            <v>PE Ger P2 Piura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</row>
        <row r="637">
          <cell r="A637">
            <v>14219125</v>
          </cell>
          <cell r="B637" t="str">
            <v>'14219125',</v>
          </cell>
          <cell r="C637" t="str">
            <v>Rustica Villa Maria del Triunfo</v>
          </cell>
          <cell r="D637" t="str">
            <v>PE Dir Lima</v>
          </cell>
          <cell r="E637" t="str">
            <v>PE Ger P1 Lima Sur</v>
          </cell>
          <cell r="F637">
            <v>0</v>
          </cell>
          <cell r="G637">
            <v>1</v>
          </cell>
          <cell r="H637">
            <v>1</v>
          </cell>
          <cell r="I637">
            <v>0</v>
          </cell>
          <cell r="J637">
            <v>0</v>
          </cell>
          <cell r="K637">
            <v>0</v>
          </cell>
        </row>
        <row r="638">
          <cell r="A638">
            <v>13652543</v>
          </cell>
          <cell r="B638" t="str">
            <v>'13652543',</v>
          </cell>
          <cell r="C638" t="str">
            <v>Ncanto Bistro</v>
          </cell>
          <cell r="D638" t="str">
            <v>PE Dir Lima</v>
          </cell>
          <cell r="E638" t="str">
            <v>PE Ger P1 Lima Oeste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</row>
        <row r="639">
          <cell r="A639">
            <v>12844589</v>
          </cell>
          <cell r="B639" t="str">
            <v>'12844589',</v>
          </cell>
          <cell r="C639" t="str">
            <v>Barra Arena</v>
          </cell>
          <cell r="D639" t="str">
            <v>PE Dir Lima</v>
          </cell>
          <cell r="E639" t="str">
            <v>PE Ger P1 Lima Centr</v>
          </cell>
          <cell r="F639">
            <v>0</v>
          </cell>
          <cell r="G639">
            <v>3</v>
          </cell>
          <cell r="H639">
            <v>3</v>
          </cell>
          <cell r="I639">
            <v>0</v>
          </cell>
          <cell r="J639">
            <v>0</v>
          </cell>
          <cell r="K639">
            <v>0</v>
          </cell>
        </row>
        <row r="640">
          <cell r="A640">
            <v>14254533</v>
          </cell>
          <cell r="B640" t="str">
            <v>'14254533',</v>
          </cell>
          <cell r="C640" t="str">
            <v>Rustica Guardua Civil</v>
          </cell>
          <cell r="D640" t="str">
            <v>PE Dir Lima</v>
          </cell>
          <cell r="E640" t="str">
            <v>PE Ger P1 Lima Sur</v>
          </cell>
          <cell r="F640">
            <v>0</v>
          </cell>
          <cell r="G640">
            <v>1</v>
          </cell>
          <cell r="H640">
            <v>1</v>
          </cell>
          <cell r="I640">
            <v>0</v>
          </cell>
          <cell r="J640">
            <v>0</v>
          </cell>
          <cell r="K640">
            <v>0</v>
          </cell>
        </row>
        <row r="641">
          <cell r="A641">
            <v>11203868</v>
          </cell>
          <cell r="B641" t="str">
            <v>'11203868',</v>
          </cell>
          <cell r="C641" t="str">
            <v>Inversiones Gastronómicas Rojas Sac</v>
          </cell>
          <cell r="D641" t="str">
            <v>PE Dir Lima</v>
          </cell>
          <cell r="E641" t="str">
            <v>PE Ger P1 Lima Oeste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</row>
        <row r="642">
          <cell r="A642">
            <v>10245950</v>
          </cell>
          <cell r="B642" t="str">
            <v>'10245950',</v>
          </cell>
          <cell r="C642" t="str">
            <v>Mi Propiedad Privada</v>
          </cell>
          <cell r="D642" t="str">
            <v>PE Dir Lima</v>
          </cell>
          <cell r="E642" t="str">
            <v>PE Ger P1 Lima Oeste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</row>
        <row r="643">
          <cell r="A643">
            <v>11141474</v>
          </cell>
          <cell r="B643" t="str">
            <v>'11141474',</v>
          </cell>
          <cell r="C643" t="str">
            <v>La Casita del Huerto</v>
          </cell>
          <cell r="D643" t="str">
            <v>PE Dir Lima</v>
          </cell>
          <cell r="E643" t="str">
            <v>PE Ger P1 Lima Sur</v>
          </cell>
          <cell r="F643">
            <v>0</v>
          </cell>
          <cell r="G643">
            <v>5</v>
          </cell>
          <cell r="H643">
            <v>5</v>
          </cell>
          <cell r="I643">
            <v>1</v>
          </cell>
          <cell r="J643">
            <v>4</v>
          </cell>
          <cell r="K643">
            <v>5</v>
          </cell>
        </row>
        <row r="644">
          <cell r="A644">
            <v>12261005</v>
          </cell>
          <cell r="B644" t="str">
            <v>'12261005',</v>
          </cell>
          <cell r="C644" t="str">
            <v>No canjeo aún</v>
          </cell>
          <cell r="D644" t="str">
            <v>PE Dir Centro Orient</v>
          </cell>
          <cell r="E644" t="str">
            <v>PE Ger P4 Tarapoto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</row>
        <row r="645">
          <cell r="A645">
            <v>14298071</v>
          </cell>
          <cell r="B645" t="str">
            <v>'14298071',</v>
          </cell>
          <cell r="C645" t="str">
            <v>PA'L CALLAO Y PUNTO</v>
          </cell>
          <cell r="D645" t="str">
            <v>PE Dir Lima</v>
          </cell>
          <cell r="E645" t="str">
            <v>PE Ger P1 Lima Oeste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</row>
        <row r="646">
          <cell r="A646">
            <v>12973177</v>
          </cell>
          <cell r="B646" t="str">
            <v>'12973177',</v>
          </cell>
          <cell r="C646" t="str">
            <v>Señor pescao</v>
          </cell>
          <cell r="D646" t="str">
            <v>PE Dir Lima</v>
          </cell>
          <cell r="E646" t="str">
            <v>PE Ger P1 Lima Oeste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</row>
        <row r="647">
          <cell r="A647">
            <v>14325726</v>
          </cell>
          <cell r="B647" t="str">
            <v>'14325726',</v>
          </cell>
          <cell r="C647" t="str">
            <v>Rustica Ventanilla</v>
          </cell>
          <cell r="D647" t="str">
            <v>PE Dir Lima</v>
          </cell>
          <cell r="E647" t="str">
            <v>PE Ger P1 Lima Norte</v>
          </cell>
          <cell r="F647">
            <v>0</v>
          </cell>
          <cell r="G647">
            <v>1</v>
          </cell>
          <cell r="H647">
            <v>1</v>
          </cell>
          <cell r="I647">
            <v>0</v>
          </cell>
          <cell r="J647">
            <v>0</v>
          </cell>
          <cell r="K647">
            <v>0</v>
          </cell>
        </row>
        <row r="648">
          <cell r="A648">
            <v>14402935</v>
          </cell>
          <cell r="B648" t="str">
            <v>'14402935',</v>
          </cell>
          <cell r="C648" t="str">
            <v>EL ESTADIO TUMBESINO</v>
          </cell>
          <cell r="D648" t="str">
            <v>PE Dir Norte</v>
          </cell>
          <cell r="E648" t="str">
            <v>PE Ger P2 Trujillo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</row>
        <row r="649">
          <cell r="A649">
            <v>11726080</v>
          </cell>
          <cell r="B649" t="str">
            <v>'11726080',</v>
          </cell>
          <cell r="C649" t="str">
            <v>Restaurant Mi Marcita</v>
          </cell>
          <cell r="D649" t="str">
            <v>PE Dir Norte</v>
          </cell>
          <cell r="E649" t="str">
            <v>PE Ger P2 Piura</v>
          </cell>
          <cell r="F649">
            <v>0</v>
          </cell>
          <cell r="G649">
            <v>1</v>
          </cell>
          <cell r="H649">
            <v>1</v>
          </cell>
          <cell r="I649">
            <v>0</v>
          </cell>
          <cell r="J649">
            <v>0</v>
          </cell>
          <cell r="K649">
            <v>0</v>
          </cell>
        </row>
        <row r="650">
          <cell r="A650">
            <v>14297001</v>
          </cell>
          <cell r="B650" t="str">
            <v>'14297001',</v>
          </cell>
          <cell r="C650" t="str">
            <v>No canjeo aún</v>
          </cell>
          <cell r="D650" t="str">
            <v>PE Dir Norte</v>
          </cell>
          <cell r="E650" t="str">
            <v>PE Ger P2 Piura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</row>
        <row r="651">
          <cell r="A651">
            <v>11119842</v>
          </cell>
          <cell r="B651" t="str">
            <v>'11119842',</v>
          </cell>
          <cell r="C651" t="str">
            <v>Cevichería el encanto</v>
          </cell>
          <cell r="D651" t="str">
            <v>PE Dir Norte</v>
          </cell>
          <cell r="E651" t="str">
            <v>PE Ger P2 Piura</v>
          </cell>
          <cell r="F651">
            <v>0</v>
          </cell>
          <cell r="G651">
            <v>1</v>
          </cell>
          <cell r="H651">
            <v>1</v>
          </cell>
          <cell r="I651">
            <v>0</v>
          </cell>
          <cell r="J651">
            <v>0</v>
          </cell>
          <cell r="K651">
            <v>0</v>
          </cell>
        </row>
        <row r="652">
          <cell r="A652">
            <v>10013563</v>
          </cell>
          <cell r="B652" t="str">
            <v>'10013563',</v>
          </cell>
          <cell r="C652" t="str">
            <v>No canjeo aún</v>
          </cell>
          <cell r="D652" t="str">
            <v>PE Dir Norte</v>
          </cell>
          <cell r="E652" t="str">
            <v>PE Ger P2 Tumbes T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</row>
        <row r="653">
          <cell r="A653">
            <v>11649737</v>
          </cell>
          <cell r="B653" t="str">
            <v>'11649737',</v>
          </cell>
          <cell r="C653" t="str">
            <v>Hacienda Macacona</v>
          </cell>
          <cell r="D653" t="str">
            <v>PE Dir Sur</v>
          </cell>
          <cell r="E653" t="str">
            <v>PE Ger P3 Sur Chico</v>
          </cell>
          <cell r="F653">
            <v>0</v>
          </cell>
          <cell r="G653">
            <v>8</v>
          </cell>
          <cell r="H653">
            <v>8</v>
          </cell>
          <cell r="I653">
            <v>0</v>
          </cell>
          <cell r="J653">
            <v>0</v>
          </cell>
          <cell r="K653">
            <v>0</v>
          </cell>
        </row>
        <row r="654">
          <cell r="A654">
            <v>13188211</v>
          </cell>
          <cell r="B654" t="str">
            <v>'13188211',</v>
          </cell>
          <cell r="C654" t="str">
            <v>Restaurante el paraiso</v>
          </cell>
          <cell r="D654" t="str">
            <v>PE Dir Lima</v>
          </cell>
          <cell r="E654" t="str">
            <v>PE Ger P1 Lima Este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</row>
        <row r="655">
          <cell r="A655">
            <v>14490836</v>
          </cell>
          <cell r="B655" t="str">
            <v>'14490836',</v>
          </cell>
          <cell r="C655" t="str">
            <v>Amén Cocina sin Reglas</v>
          </cell>
          <cell r="D655" t="str">
            <v>PE Dir Lima</v>
          </cell>
          <cell r="E655" t="str">
            <v>PE Ger P1 Lima Sur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</row>
        <row r="656">
          <cell r="A656">
            <v>11798918</v>
          </cell>
          <cell r="B656" t="str">
            <v>'11798918',</v>
          </cell>
          <cell r="C656" t="str">
            <v>EL RANCHO DE  ROBERTIN</v>
          </cell>
          <cell r="D656" t="str">
            <v>PE Dir Lima</v>
          </cell>
          <cell r="E656" t="str">
            <v>PE Ger P1 Norte Chi</v>
          </cell>
          <cell r="F656">
            <v>0</v>
          </cell>
          <cell r="G656">
            <v>16</v>
          </cell>
          <cell r="H656">
            <v>16</v>
          </cell>
          <cell r="I656">
            <v>0</v>
          </cell>
          <cell r="J656">
            <v>0</v>
          </cell>
          <cell r="K656">
            <v>0</v>
          </cell>
        </row>
        <row r="657">
          <cell r="A657">
            <v>12953370</v>
          </cell>
          <cell r="B657" t="str">
            <v>'12953370',</v>
          </cell>
          <cell r="C657" t="str">
            <v>LA PICADA CEBICHERIA</v>
          </cell>
          <cell r="D657" t="str">
            <v>PE Dir Lima</v>
          </cell>
          <cell r="E657" t="str">
            <v>PE Ger P1 Lima Este</v>
          </cell>
          <cell r="F657">
            <v>0</v>
          </cell>
          <cell r="G657">
            <v>1</v>
          </cell>
          <cell r="H657">
            <v>1</v>
          </cell>
          <cell r="I657">
            <v>0</v>
          </cell>
          <cell r="J657">
            <v>0</v>
          </cell>
          <cell r="K657">
            <v>0</v>
          </cell>
        </row>
        <row r="658">
          <cell r="A658">
            <v>14358558</v>
          </cell>
          <cell r="B658" t="str">
            <v>'14358558',</v>
          </cell>
          <cell r="C658" t="str">
            <v>El sabor de la mamá Lala</v>
          </cell>
          <cell r="D658" t="str">
            <v>PE Dir Norte</v>
          </cell>
          <cell r="E658" t="str">
            <v>PE Ger P2 Piura</v>
          </cell>
          <cell r="F658">
            <v>0</v>
          </cell>
          <cell r="G658">
            <v>12</v>
          </cell>
          <cell r="H658">
            <v>12</v>
          </cell>
          <cell r="I658">
            <v>0</v>
          </cell>
          <cell r="J658">
            <v>0</v>
          </cell>
          <cell r="K658">
            <v>0</v>
          </cell>
        </row>
        <row r="659">
          <cell r="A659">
            <v>14480836</v>
          </cell>
          <cell r="B659" t="str">
            <v>'14480836',</v>
          </cell>
          <cell r="C659" t="str">
            <v>Perikos Ferreñafano</v>
          </cell>
          <cell r="D659" t="str">
            <v>PE Dir Norte</v>
          </cell>
          <cell r="E659" t="str">
            <v>PE Ger P2 Chiclay Ca</v>
          </cell>
          <cell r="F659">
            <v>0</v>
          </cell>
          <cell r="G659">
            <v>5</v>
          </cell>
          <cell r="H659">
            <v>5</v>
          </cell>
          <cell r="I659">
            <v>0</v>
          </cell>
          <cell r="J659">
            <v>5</v>
          </cell>
          <cell r="K659">
            <v>5</v>
          </cell>
        </row>
        <row r="660">
          <cell r="A660">
            <v>13530121</v>
          </cell>
          <cell r="B660" t="str">
            <v>'13530121',</v>
          </cell>
          <cell r="C660" t="str">
            <v>CEVICHERIA EL PUERTO</v>
          </cell>
          <cell r="D660" t="str">
            <v>PE Dir Sur</v>
          </cell>
          <cell r="E660" t="str">
            <v>PE Ger P3 Puno</v>
          </cell>
          <cell r="F660">
            <v>0</v>
          </cell>
          <cell r="G660">
            <v>3</v>
          </cell>
          <cell r="H660">
            <v>3</v>
          </cell>
          <cell r="I660">
            <v>0</v>
          </cell>
          <cell r="J660">
            <v>0</v>
          </cell>
          <cell r="K660">
            <v>0</v>
          </cell>
        </row>
        <row r="661">
          <cell r="A661">
            <v>11042885</v>
          </cell>
          <cell r="B661" t="str">
            <v>'11042885',</v>
          </cell>
          <cell r="C661" t="str">
            <v>Asador</v>
          </cell>
          <cell r="D661" t="str">
            <v>PE Dir Sur</v>
          </cell>
          <cell r="E661" t="str">
            <v>PE Ger P3 Puno</v>
          </cell>
          <cell r="F661">
            <v>0</v>
          </cell>
          <cell r="G661">
            <v>4</v>
          </cell>
          <cell r="H661">
            <v>4</v>
          </cell>
          <cell r="I661">
            <v>0</v>
          </cell>
          <cell r="J661">
            <v>0</v>
          </cell>
          <cell r="K661">
            <v>0</v>
          </cell>
        </row>
        <row r="662">
          <cell r="A662">
            <v>14205806</v>
          </cell>
          <cell r="B662" t="str">
            <v>'14205806',</v>
          </cell>
          <cell r="C662" t="str">
            <v>No canjeo aún</v>
          </cell>
          <cell r="D662" t="str">
            <v>PE Dir Lima</v>
          </cell>
          <cell r="E662" t="str">
            <v>PE Ger P1 Lima Este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>
            <v>13727121</v>
          </cell>
          <cell r="B663" t="str">
            <v>'13727121',</v>
          </cell>
          <cell r="C663" t="str">
            <v>El Cantarito de piura</v>
          </cell>
          <cell r="D663" t="str">
            <v>PE Dir Centro Orient</v>
          </cell>
          <cell r="E663" t="str">
            <v>PE Ger P4 Tarapoto</v>
          </cell>
          <cell r="F663">
            <v>0</v>
          </cell>
          <cell r="G663">
            <v>2</v>
          </cell>
          <cell r="H663">
            <v>2</v>
          </cell>
          <cell r="I663">
            <v>0</v>
          </cell>
          <cell r="J663">
            <v>0</v>
          </cell>
          <cell r="K663">
            <v>0</v>
          </cell>
        </row>
        <row r="664">
          <cell r="A664">
            <v>12706073</v>
          </cell>
          <cell r="B664" t="str">
            <v>'12706073',</v>
          </cell>
          <cell r="C664" t="str">
            <v>Lo mejor del mar</v>
          </cell>
          <cell r="D664" t="str">
            <v>PE Dir Lima</v>
          </cell>
          <cell r="E664" t="str">
            <v>PE Ger P1 Lima Sur</v>
          </cell>
          <cell r="F664">
            <v>0</v>
          </cell>
          <cell r="G664">
            <v>3</v>
          </cell>
          <cell r="H664">
            <v>3</v>
          </cell>
          <cell r="I664">
            <v>0</v>
          </cell>
          <cell r="J664">
            <v>0</v>
          </cell>
          <cell r="K664">
            <v>0</v>
          </cell>
        </row>
        <row r="665">
          <cell r="A665">
            <v>13996006</v>
          </cell>
          <cell r="B665" t="str">
            <v>'13996006',</v>
          </cell>
          <cell r="C665" t="str">
            <v>LOS BACHICHE</v>
          </cell>
          <cell r="D665" t="str">
            <v>PE Dir Lima</v>
          </cell>
          <cell r="E665" t="str">
            <v>PE Ger P1 Lima Centr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</row>
        <row r="666">
          <cell r="A666">
            <v>12837185</v>
          </cell>
          <cell r="B666" t="str">
            <v>'12837185',</v>
          </cell>
          <cell r="C666" t="str">
            <v>Cevicheria soffy</v>
          </cell>
          <cell r="D666" t="str">
            <v>PE Dir Lima</v>
          </cell>
          <cell r="E666" t="str">
            <v>PE Ger P1 Lima Oeste</v>
          </cell>
          <cell r="F666">
            <v>0</v>
          </cell>
          <cell r="G666">
            <v>1</v>
          </cell>
          <cell r="H666">
            <v>1</v>
          </cell>
          <cell r="I666">
            <v>0</v>
          </cell>
          <cell r="J666">
            <v>0</v>
          </cell>
          <cell r="K666">
            <v>0</v>
          </cell>
        </row>
        <row r="667">
          <cell r="A667">
            <v>13767063</v>
          </cell>
          <cell r="B667" t="str">
            <v>'13767063',</v>
          </cell>
          <cell r="C667" t="str">
            <v>No canjeo aún</v>
          </cell>
          <cell r="D667" t="str">
            <v>PE Dir Lima</v>
          </cell>
          <cell r="E667" t="str">
            <v>PE Ger P1 Lima Este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</row>
        <row r="668">
          <cell r="A668">
            <v>10014672</v>
          </cell>
          <cell r="B668" t="str">
            <v>'10014672',</v>
          </cell>
          <cell r="C668" t="str">
            <v>No canjeo aún</v>
          </cell>
          <cell r="D668" t="str">
            <v>PE Dir Norte</v>
          </cell>
          <cell r="E668" t="str">
            <v>PE Ger P2 Tumbes T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</row>
        <row r="669">
          <cell r="A669">
            <v>11184372</v>
          </cell>
          <cell r="B669" t="str">
            <v>'11184372',</v>
          </cell>
          <cell r="C669" t="str">
            <v>Restaurant Campestre La Molina</v>
          </cell>
          <cell r="D669" t="str">
            <v>PE Dir Norte</v>
          </cell>
          <cell r="E669" t="str">
            <v>PE Ger P2 Chiclay Ca</v>
          </cell>
          <cell r="F669">
            <v>0</v>
          </cell>
          <cell r="G669">
            <v>5</v>
          </cell>
          <cell r="H669">
            <v>5</v>
          </cell>
          <cell r="I669">
            <v>0</v>
          </cell>
          <cell r="J669">
            <v>0</v>
          </cell>
          <cell r="K669">
            <v>0</v>
          </cell>
        </row>
        <row r="670">
          <cell r="A670">
            <v>11264369</v>
          </cell>
          <cell r="B670" t="str">
            <v>'11264369',</v>
          </cell>
          <cell r="C670" t="str">
            <v>Castope Restaurant</v>
          </cell>
          <cell r="D670" t="str">
            <v>PE Dir Norte</v>
          </cell>
          <cell r="E670" t="str">
            <v>PE Ger P2 Chiclay Ca</v>
          </cell>
          <cell r="F670">
            <v>0</v>
          </cell>
          <cell r="G670">
            <v>9</v>
          </cell>
          <cell r="H670">
            <v>9</v>
          </cell>
          <cell r="I670">
            <v>0</v>
          </cell>
          <cell r="J670">
            <v>4</v>
          </cell>
          <cell r="K670">
            <v>4</v>
          </cell>
        </row>
        <row r="671">
          <cell r="A671">
            <v>12841171</v>
          </cell>
          <cell r="B671" t="str">
            <v>'12841171',</v>
          </cell>
          <cell r="C671" t="str">
            <v>El Cantaro Norteño</v>
          </cell>
          <cell r="D671" t="str">
            <v>PE Dir Norte</v>
          </cell>
          <cell r="E671" t="str">
            <v>PE Ger P2 Chiclay Ca</v>
          </cell>
          <cell r="F671">
            <v>0</v>
          </cell>
          <cell r="G671">
            <v>1</v>
          </cell>
          <cell r="H671">
            <v>1</v>
          </cell>
          <cell r="I671">
            <v>0</v>
          </cell>
          <cell r="J671">
            <v>0</v>
          </cell>
          <cell r="K671">
            <v>0</v>
          </cell>
        </row>
        <row r="672">
          <cell r="A672">
            <v>13787290</v>
          </cell>
          <cell r="B672" t="str">
            <v>'13787290',</v>
          </cell>
          <cell r="C672" t="str">
            <v>Restaurant Turístico El Rincón del Tiburón</v>
          </cell>
          <cell r="D672" t="str">
            <v>PE Dir Norte</v>
          </cell>
          <cell r="E672" t="str">
            <v>PE Ger P2 Trujillo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</row>
        <row r="673">
          <cell r="A673">
            <v>14291776</v>
          </cell>
          <cell r="B673" t="str">
            <v>'14291776',</v>
          </cell>
          <cell r="C673" t="str">
            <v>Tiki Tiki</v>
          </cell>
          <cell r="D673" t="str">
            <v>PE Dir Norte</v>
          </cell>
          <cell r="E673" t="str">
            <v>PE Ger P2 Chiclay Ca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</row>
        <row r="674">
          <cell r="A674">
            <v>14402365</v>
          </cell>
          <cell r="B674" t="str">
            <v>'14402365',</v>
          </cell>
          <cell r="C674" t="str">
            <v>No canjeo aún</v>
          </cell>
          <cell r="D674" t="str">
            <v>PE Dir Norte</v>
          </cell>
          <cell r="E674" t="str">
            <v>PE Ger P2 Trujillo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</row>
        <row r="675">
          <cell r="A675">
            <v>10974001</v>
          </cell>
          <cell r="B675" t="str">
            <v>'10974001',</v>
          </cell>
          <cell r="C675" t="str">
            <v>Donde la tradición perdura</v>
          </cell>
          <cell r="D675" t="str">
            <v>PE Dir Norte</v>
          </cell>
          <cell r="E675" t="str">
            <v>PE Ger P2 Piura</v>
          </cell>
          <cell r="F675">
            <v>0</v>
          </cell>
          <cell r="G675">
            <v>8</v>
          </cell>
          <cell r="H675">
            <v>8</v>
          </cell>
          <cell r="I675">
            <v>0</v>
          </cell>
          <cell r="J675">
            <v>0</v>
          </cell>
          <cell r="K675">
            <v>0</v>
          </cell>
        </row>
        <row r="676">
          <cell r="A676">
            <v>10070710</v>
          </cell>
          <cell r="B676" t="str">
            <v>'10070710',</v>
          </cell>
          <cell r="C676" t="str">
            <v>No canjeo aún</v>
          </cell>
          <cell r="D676" t="str">
            <v>PE Dir Norte</v>
          </cell>
          <cell r="E676" t="str">
            <v>PE Ger P2 Ancash</v>
          </cell>
          <cell r="F676">
            <v>0</v>
          </cell>
          <cell r="G676">
            <v>0</v>
          </cell>
          <cell r="H676">
            <v>0</v>
          </cell>
          <cell r="I676">
            <v>1</v>
          </cell>
          <cell r="J676">
            <v>0</v>
          </cell>
          <cell r="K676">
            <v>1</v>
          </cell>
        </row>
        <row r="677">
          <cell r="A677">
            <v>12159009</v>
          </cell>
          <cell r="B677" t="str">
            <v>'12159009',</v>
          </cell>
          <cell r="C677" t="str">
            <v>No canjeo aún</v>
          </cell>
          <cell r="D677" t="str">
            <v>PE Dir Centro Orient</v>
          </cell>
          <cell r="E677" t="str">
            <v>PE Ger P4 Iquitos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</row>
        <row r="678">
          <cell r="A678">
            <v>14294963</v>
          </cell>
          <cell r="B678" t="str">
            <v>'14294963',</v>
          </cell>
          <cell r="C678" t="str">
            <v>Fusion cevichela</v>
          </cell>
          <cell r="D678" t="str">
            <v>PE Dir Centro Orient</v>
          </cell>
          <cell r="E678" t="str">
            <v>PE Ger P4 Tarapoto</v>
          </cell>
          <cell r="F678">
            <v>0</v>
          </cell>
          <cell r="G678">
            <v>2</v>
          </cell>
          <cell r="H678">
            <v>2</v>
          </cell>
          <cell r="I678">
            <v>0</v>
          </cell>
          <cell r="J678">
            <v>0</v>
          </cell>
          <cell r="K678">
            <v>0</v>
          </cell>
        </row>
        <row r="679">
          <cell r="A679">
            <v>14219357</v>
          </cell>
          <cell r="B679" t="str">
            <v>'14219357',</v>
          </cell>
          <cell r="C679" t="str">
            <v>Centro de eventos Que Chicha Quieres</v>
          </cell>
          <cell r="D679" t="str">
            <v>PE Dir Centro Orient</v>
          </cell>
          <cell r="E679" t="str">
            <v>PE Ger P4 Tarapoto</v>
          </cell>
          <cell r="F679">
            <v>0</v>
          </cell>
          <cell r="G679">
            <v>4</v>
          </cell>
          <cell r="H679">
            <v>4</v>
          </cell>
          <cell r="I679">
            <v>0</v>
          </cell>
          <cell r="J679">
            <v>0</v>
          </cell>
          <cell r="K679">
            <v>0</v>
          </cell>
        </row>
        <row r="680">
          <cell r="A680">
            <v>12185208</v>
          </cell>
          <cell r="B680" t="str">
            <v>'12185208',</v>
          </cell>
          <cell r="C680" t="str">
            <v>La yuli</v>
          </cell>
          <cell r="D680" t="str">
            <v>PE Dir Lima</v>
          </cell>
          <cell r="E680" t="str">
            <v>PE Ger P1 Lima Norte</v>
          </cell>
          <cell r="F680">
            <v>0</v>
          </cell>
          <cell r="G680">
            <v>1</v>
          </cell>
          <cell r="H680">
            <v>1</v>
          </cell>
          <cell r="I680">
            <v>0</v>
          </cell>
          <cell r="J680">
            <v>0</v>
          </cell>
          <cell r="K680">
            <v>0</v>
          </cell>
        </row>
        <row r="681">
          <cell r="A681">
            <v>13775755</v>
          </cell>
          <cell r="B681" t="str">
            <v>'13775755',</v>
          </cell>
          <cell r="C681" t="str">
            <v>Purita concha</v>
          </cell>
          <cell r="D681" t="str">
            <v>PE Dir Lima</v>
          </cell>
          <cell r="E681" t="str">
            <v>PE Ger P1 Lima Sur</v>
          </cell>
          <cell r="F681">
            <v>0</v>
          </cell>
          <cell r="G681">
            <v>2</v>
          </cell>
          <cell r="H681">
            <v>2</v>
          </cell>
          <cell r="I681">
            <v>0</v>
          </cell>
          <cell r="J681">
            <v>0</v>
          </cell>
          <cell r="K681">
            <v>0</v>
          </cell>
        </row>
        <row r="682">
          <cell r="A682">
            <v>14257165</v>
          </cell>
          <cell r="B682" t="str">
            <v>'14257165',</v>
          </cell>
          <cell r="C682" t="str">
            <v>LA BARRA DE JACKILI</v>
          </cell>
          <cell r="D682" t="str">
            <v>PE Dir Lima</v>
          </cell>
          <cell r="E682" t="str">
            <v>PE Ger P1 Lima Centr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1</v>
          </cell>
          <cell r="K682">
            <v>1</v>
          </cell>
        </row>
        <row r="683">
          <cell r="A683">
            <v>14318737</v>
          </cell>
          <cell r="B683" t="str">
            <v>'14318737',</v>
          </cell>
          <cell r="C683" t="str">
            <v>Sucursal Surquillo</v>
          </cell>
          <cell r="D683" t="str">
            <v>PE Dir Lima</v>
          </cell>
          <cell r="E683" t="str">
            <v>PE Ger P1 Lima Este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</row>
        <row r="684">
          <cell r="A684">
            <v>13164829</v>
          </cell>
          <cell r="B684" t="str">
            <v>'13164829',</v>
          </cell>
          <cell r="C684" t="str">
            <v>Cevichería Aurea</v>
          </cell>
          <cell r="D684" t="str">
            <v>PE Dir Lima</v>
          </cell>
          <cell r="E684" t="str">
            <v>PE Ger P1 Lima Oeste</v>
          </cell>
          <cell r="F684">
            <v>0</v>
          </cell>
          <cell r="G684">
            <v>1</v>
          </cell>
          <cell r="H684">
            <v>1</v>
          </cell>
          <cell r="I684">
            <v>0</v>
          </cell>
          <cell r="J684">
            <v>0</v>
          </cell>
          <cell r="K684">
            <v>0</v>
          </cell>
        </row>
        <row r="685">
          <cell r="A685">
            <v>13849372</v>
          </cell>
          <cell r="B685" t="str">
            <v>'13849372',</v>
          </cell>
          <cell r="C685" t="str">
            <v>Rustica Aviacion</v>
          </cell>
          <cell r="D685" t="str">
            <v>PE Dir Lima</v>
          </cell>
          <cell r="E685" t="str">
            <v>PE Ger P1 Lima Este</v>
          </cell>
          <cell r="F685">
            <v>0</v>
          </cell>
          <cell r="G685">
            <v>1</v>
          </cell>
          <cell r="H685">
            <v>1</v>
          </cell>
          <cell r="I685">
            <v>0</v>
          </cell>
          <cell r="J685">
            <v>0</v>
          </cell>
          <cell r="K685">
            <v>0</v>
          </cell>
        </row>
        <row r="686">
          <cell r="A686">
            <v>14462340</v>
          </cell>
          <cell r="B686" t="str">
            <v>'14462340',</v>
          </cell>
          <cell r="C686" t="str">
            <v>D’ainos</v>
          </cell>
          <cell r="D686" t="str">
            <v>PE Dir Lima</v>
          </cell>
          <cell r="E686" t="str">
            <v>PE Ger P1 Lima Oeste</v>
          </cell>
          <cell r="F686">
            <v>0</v>
          </cell>
          <cell r="G686">
            <v>5</v>
          </cell>
          <cell r="H686">
            <v>5</v>
          </cell>
          <cell r="I686">
            <v>0</v>
          </cell>
          <cell r="J686">
            <v>5</v>
          </cell>
          <cell r="K686">
            <v>5</v>
          </cell>
        </row>
        <row r="687">
          <cell r="A687">
            <v>14400301</v>
          </cell>
          <cell r="B687" t="str">
            <v>'14400301',</v>
          </cell>
          <cell r="C687" t="str">
            <v>El fresco 41</v>
          </cell>
          <cell r="D687" t="str">
            <v>PE Dir Lima</v>
          </cell>
          <cell r="E687" t="str">
            <v>PE Ger P1 Lima Centr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</row>
        <row r="688">
          <cell r="A688">
            <v>13782258</v>
          </cell>
          <cell r="B688" t="str">
            <v>'13782258',</v>
          </cell>
          <cell r="C688" t="str">
            <v>Frida Catering</v>
          </cell>
          <cell r="D688" t="str">
            <v>PE Dir Lima</v>
          </cell>
          <cell r="E688" t="str">
            <v>PE Ger P1 Lima Este</v>
          </cell>
          <cell r="F688">
            <v>0</v>
          </cell>
          <cell r="G688">
            <v>8</v>
          </cell>
          <cell r="H688">
            <v>8</v>
          </cell>
          <cell r="I688">
            <v>0</v>
          </cell>
          <cell r="J688">
            <v>4</v>
          </cell>
          <cell r="K688">
            <v>4</v>
          </cell>
        </row>
        <row r="689">
          <cell r="A689">
            <v>11747983</v>
          </cell>
          <cell r="B689" t="str">
            <v>'11747983',</v>
          </cell>
          <cell r="C689" t="str">
            <v>No canjeo aún</v>
          </cell>
          <cell r="D689" t="str">
            <v>PE Dir Lima</v>
          </cell>
          <cell r="E689" t="str">
            <v>PE Ger P1 Lima Este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</row>
        <row r="690">
          <cell r="A690">
            <v>12988813</v>
          </cell>
          <cell r="B690" t="str">
            <v>'12988813',</v>
          </cell>
          <cell r="C690" t="str">
            <v>No canjeo aún</v>
          </cell>
          <cell r="D690" t="str">
            <v>PE Dir Lima</v>
          </cell>
          <cell r="E690" t="str">
            <v>PE Ger P1 Norte Chi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</row>
        <row r="691">
          <cell r="A691">
            <v>11647909</v>
          </cell>
          <cell r="B691" t="str">
            <v>'11647909',</v>
          </cell>
          <cell r="C691" t="str">
            <v>D’lalos</v>
          </cell>
          <cell r="D691" t="str">
            <v>PE Dir Lima</v>
          </cell>
          <cell r="E691" t="str">
            <v>PE Ger P1 Lima Norte</v>
          </cell>
          <cell r="F691">
            <v>0</v>
          </cell>
          <cell r="G691">
            <v>5</v>
          </cell>
          <cell r="H691">
            <v>5</v>
          </cell>
          <cell r="I691">
            <v>0</v>
          </cell>
          <cell r="J691">
            <v>0</v>
          </cell>
          <cell r="K691">
            <v>0</v>
          </cell>
        </row>
        <row r="692">
          <cell r="A692">
            <v>13402295</v>
          </cell>
          <cell r="B692" t="str">
            <v>'13402295',</v>
          </cell>
          <cell r="C692" t="str">
            <v>Ceviche Perú</v>
          </cell>
          <cell r="D692" t="str">
            <v>PE Dir Norte</v>
          </cell>
          <cell r="E692" t="str">
            <v>PE Ger P2 Ancash</v>
          </cell>
          <cell r="F692">
            <v>0</v>
          </cell>
          <cell r="G692">
            <v>3</v>
          </cell>
          <cell r="H692">
            <v>3</v>
          </cell>
          <cell r="I692">
            <v>0</v>
          </cell>
          <cell r="J692">
            <v>0</v>
          </cell>
          <cell r="K692">
            <v>0</v>
          </cell>
        </row>
        <row r="693">
          <cell r="A693">
            <v>11726818</v>
          </cell>
          <cell r="B693" t="str">
            <v>'11726818',</v>
          </cell>
          <cell r="C693" t="str">
            <v>Restaurant y Marisquería Mi Che Limón S. A. C</v>
          </cell>
          <cell r="D693" t="str">
            <v>PE Dir Norte</v>
          </cell>
          <cell r="E693" t="str">
            <v>PE Ger P2 Chiclay Ca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</row>
        <row r="694">
          <cell r="A694">
            <v>10072015</v>
          </cell>
          <cell r="B694" t="str">
            <v>'10072015',</v>
          </cell>
          <cell r="C694" t="str">
            <v>Cevichería Aleta Azul</v>
          </cell>
          <cell r="D694" t="str">
            <v>PE Dir Norte</v>
          </cell>
          <cell r="E694" t="str">
            <v>PE Ger P2 Ancash</v>
          </cell>
          <cell r="F694">
            <v>0</v>
          </cell>
          <cell r="G694">
            <v>3</v>
          </cell>
          <cell r="H694">
            <v>3</v>
          </cell>
          <cell r="I694">
            <v>0</v>
          </cell>
          <cell r="J694">
            <v>0</v>
          </cell>
          <cell r="K694">
            <v>0</v>
          </cell>
        </row>
        <row r="695">
          <cell r="A695">
            <v>10118181</v>
          </cell>
          <cell r="B695" t="str">
            <v>'10118181',</v>
          </cell>
          <cell r="C695" t="str">
            <v>La nueva Palomino</v>
          </cell>
          <cell r="D695" t="str">
            <v>PE Dir Sur</v>
          </cell>
          <cell r="E695" t="str">
            <v>PE Ger P3 Arequipa</v>
          </cell>
          <cell r="F695">
            <v>0</v>
          </cell>
          <cell r="G695">
            <v>21</v>
          </cell>
          <cell r="H695">
            <v>21</v>
          </cell>
          <cell r="I695">
            <v>0</v>
          </cell>
          <cell r="J695">
            <v>0</v>
          </cell>
          <cell r="K695">
            <v>0</v>
          </cell>
        </row>
        <row r="696">
          <cell r="A696">
            <v>14085337</v>
          </cell>
          <cell r="B696" t="str">
            <v>'14085337',</v>
          </cell>
          <cell r="C696" t="str">
            <v>CLUB EL TUMI ICA</v>
          </cell>
          <cell r="D696" t="str">
            <v>PE Dir Sur</v>
          </cell>
          <cell r="E696" t="str">
            <v>PE Ger P3 Sur Chico</v>
          </cell>
          <cell r="F696">
            <v>0</v>
          </cell>
          <cell r="G696">
            <v>5</v>
          </cell>
          <cell r="H696">
            <v>5</v>
          </cell>
          <cell r="I696">
            <v>0</v>
          </cell>
          <cell r="J696">
            <v>0</v>
          </cell>
          <cell r="K696">
            <v>0</v>
          </cell>
        </row>
        <row r="697">
          <cell r="A697">
            <v>10260768</v>
          </cell>
          <cell r="B697" t="str">
            <v>'10260768',</v>
          </cell>
          <cell r="C697" t="str">
            <v>PUNTA SAL - CONQUISTADORES</v>
          </cell>
          <cell r="D697" t="str">
            <v>PE Dir Lima</v>
          </cell>
          <cell r="E697" t="str">
            <v>PE Ger P1 Lima Centr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1</v>
          </cell>
          <cell r="K697">
            <v>1</v>
          </cell>
        </row>
        <row r="698">
          <cell r="A698">
            <v>14206732</v>
          </cell>
          <cell r="B698" t="str">
            <v>'14206732',</v>
          </cell>
          <cell r="C698" t="str">
            <v>Enigma Club</v>
          </cell>
          <cell r="D698" t="str">
            <v>PE Dir Lima</v>
          </cell>
          <cell r="E698" t="str">
            <v>PE Ger P1 Lima Este</v>
          </cell>
          <cell r="F698">
            <v>0</v>
          </cell>
          <cell r="G698">
            <v>1</v>
          </cell>
          <cell r="H698">
            <v>1</v>
          </cell>
          <cell r="I698">
            <v>4</v>
          </cell>
          <cell r="J698">
            <v>0</v>
          </cell>
          <cell r="K698">
            <v>4</v>
          </cell>
        </row>
        <row r="699">
          <cell r="A699">
            <v>14392807</v>
          </cell>
          <cell r="B699" t="str">
            <v>'14392807',</v>
          </cell>
          <cell r="C699" t="str">
            <v>La peña resto bar</v>
          </cell>
          <cell r="D699" t="str">
            <v>PE Dir Lima</v>
          </cell>
          <cell r="E699" t="str">
            <v>PE Ger P1 Lima Sur</v>
          </cell>
          <cell r="F699">
            <v>0</v>
          </cell>
          <cell r="G699">
            <v>1</v>
          </cell>
          <cell r="H699">
            <v>1</v>
          </cell>
          <cell r="I699">
            <v>0</v>
          </cell>
          <cell r="J699">
            <v>0</v>
          </cell>
          <cell r="K699">
            <v>0</v>
          </cell>
        </row>
        <row r="700">
          <cell r="A700">
            <v>14225137</v>
          </cell>
          <cell r="B700" t="str">
            <v>'14225137',</v>
          </cell>
          <cell r="C700" t="str">
            <v>No canjeo aún</v>
          </cell>
          <cell r="D700" t="str">
            <v>PE Dir Lima</v>
          </cell>
          <cell r="E700" t="str">
            <v>PE Ger P1 Lima Oeste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</row>
        <row r="701">
          <cell r="A701">
            <v>14115200</v>
          </cell>
          <cell r="B701" t="str">
            <v>'14115200',</v>
          </cell>
          <cell r="C701" t="str">
            <v>No canjeo aún</v>
          </cell>
          <cell r="D701" t="str">
            <v>PE Dir Lima</v>
          </cell>
          <cell r="E701" t="str">
            <v>PE Ger P1 Lima Oeste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</row>
        <row r="702">
          <cell r="A702">
            <v>13471716</v>
          </cell>
          <cell r="B702" t="str">
            <v>'13471716',</v>
          </cell>
          <cell r="C702" t="str">
            <v>D'Pato Restaurante-Picanteria</v>
          </cell>
          <cell r="D702" t="str">
            <v>PE Dir Norte</v>
          </cell>
          <cell r="E702" t="str">
            <v>PE Ger P2 Chiclay Ca</v>
          </cell>
          <cell r="F702">
            <v>0</v>
          </cell>
          <cell r="G702">
            <v>4</v>
          </cell>
          <cell r="H702">
            <v>4</v>
          </cell>
          <cell r="I702">
            <v>0</v>
          </cell>
          <cell r="J702">
            <v>0</v>
          </cell>
          <cell r="K702">
            <v>0</v>
          </cell>
        </row>
        <row r="703">
          <cell r="A703">
            <v>14119552</v>
          </cell>
          <cell r="B703" t="str">
            <v>'14119552',</v>
          </cell>
          <cell r="C703" t="e">
            <v>#N/A</v>
          </cell>
          <cell r="D703" t="e">
            <v>#N/A</v>
          </cell>
          <cell r="E703" t="e">
            <v>#N/A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</row>
        <row r="704">
          <cell r="A704">
            <v>14241418</v>
          </cell>
          <cell r="B704" t="str">
            <v>'14241418',</v>
          </cell>
          <cell r="C704" t="str">
            <v>MARES</v>
          </cell>
          <cell r="D704" t="str">
            <v>PE Dir Sur</v>
          </cell>
          <cell r="E704" t="str">
            <v>PE Ger P3 Arequipa</v>
          </cell>
          <cell r="F704">
            <v>0</v>
          </cell>
          <cell r="G704">
            <v>1</v>
          </cell>
          <cell r="H704">
            <v>1</v>
          </cell>
          <cell r="I704">
            <v>0</v>
          </cell>
          <cell r="J704">
            <v>0</v>
          </cell>
          <cell r="K704">
            <v>0</v>
          </cell>
        </row>
        <row r="705">
          <cell r="A705">
            <v>13864424</v>
          </cell>
          <cell r="B705" t="str">
            <v>'13864424',</v>
          </cell>
          <cell r="C705" t="str">
            <v>La Parrilla</v>
          </cell>
          <cell r="D705" t="str">
            <v>PE Dir Sur</v>
          </cell>
          <cell r="E705" t="str">
            <v>PE Ger P3 Tacna</v>
          </cell>
          <cell r="F705">
            <v>0</v>
          </cell>
          <cell r="G705">
            <v>2</v>
          </cell>
          <cell r="H705">
            <v>2</v>
          </cell>
          <cell r="I705">
            <v>0</v>
          </cell>
          <cell r="J705">
            <v>0</v>
          </cell>
          <cell r="K705">
            <v>0</v>
          </cell>
        </row>
        <row r="706">
          <cell r="A706">
            <v>14324021</v>
          </cell>
          <cell r="B706" t="str">
            <v>'14324021',</v>
          </cell>
          <cell r="C706" t="str">
            <v>Vivero restobar</v>
          </cell>
          <cell r="D706" t="str">
            <v>PE Dir Lima</v>
          </cell>
          <cell r="E706" t="str">
            <v>PE Ger P1 Lima Sur</v>
          </cell>
          <cell r="F706">
            <v>0</v>
          </cell>
          <cell r="G706">
            <v>1</v>
          </cell>
          <cell r="H706">
            <v>1</v>
          </cell>
          <cell r="I706">
            <v>1</v>
          </cell>
          <cell r="J706">
            <v>1</v>
          </cell>
          <cell r="K706">
            <v>2</v>
          </cell>
        </row>
        <row r="707">
          <cell r="A707">
            <v>14174268</v>
          </cell>
          <cell r="B707" t="str">
            <v>'14174268',</v>
          </cell>
          <cell r="C707" t="str">
            <v>No canjeo aún</v>
          </cell>
          <cell r="D707" t="str">
            <v>PE Dir Norte</v>
          </cell>
          <cell r="E707" t="str">
            <v>PE Ger P2 Piura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1</v>
          </cell>
          <cell r="K707">
            <v>1</v>
          </cell>
        </row>
        <row r="708">
          <cell r="A708">
            <v>14431061</v>
          </cell>
          <cell r="B708" t="str">
            <v>'14431061',</v>
          </cell>
          <cell r="C708" t="str">
            <v>Cevicheria el rinconcito Chiclayano</v>
          </cell>
          <cell r="D708" t="str">
            <v>PE Dir Centro Orient</v>
          </cell>
          <cell r="E708" t="str">
            <v>PE Ger P4 Tarapoto</v>
          </cell>
          <cell r="F708">
            <v>0</v>
          </cell>
          <cell r="G708">
            <v>2</v>
          </cell>
          <cell r="H708">
            <v>2</v>
          </cell>
          <cell r="I708">
            <v>0</v>
          </cell>
          <cell r="J708">
            <v>0</v>
          </cell>
          <cell r="K708">
            <v>0</v>
          </cell>
        </row>
        <row r="709">
          <cell r="A709">
            <v>13727208</v>
          </cell>
          <cell r="B709" t="str">
            <v>'13727208',</v>
          </cell>
          <cell r="C709" t="str">
            <v>PUNTO SELVÁTICO RESTAURANT</v>
          </cell>
          <cell r="D709" t="str">
            <v>PE Dir Centro Orient</v>
          </cell>
          <cell r="E709" t="str">
            <v>PE Ger P4 Tarapoto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</row>
        <row r="710">
          <cell r="A710">
            <v>11795342</v>
          </cell>
          <cell r="B710" t="str">
            <v>'11795342',</v>
          </cell>
          <cell r="C710" t="str">
            <v>No canjeo aún</v>
          </cell>
          <cell r="D710" t="str">
            <v>PE Dir Lima</v>
          </cell>
          <cell r="E710" t="str">
            <v>PE Ger P1 Lima Oeste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>
            <v>11455493</v>
          </cell>
          <cell r="B711" t="str">
            <v>'11455493',</v>
          </cell>
          <cell r="C711" t="str">
            <v>Don Cevichero</v>
          </cell>
          <cell r="D711" t="str">
            <v>PE Dir Lima</v>
          </cell>
          <cell r="E711" t="str">
            <v>PE Ger P1 Lima Este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</row>
        <row r="712">
          <cell r="A712">
            <v>10173830</v>
          </cell>
          <cell r="B712" t="str">
            <v>'10173830',</v>
          </cell>
          <cell r="C712" t="str">
            <v>PUNTA SAL - CANAVAL Y MOREYRA</v>
          </cell>
          <cell r="D712" t="str">
            <v>PE Dir Lima</v>
          </cell>
          <cell r="E712" t="str">
            <v>PE Ger P1 Lima Este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</row>
        <row r="713">
          <cell r="A713">
            <v>14463164</v>
          </cell>
          <cell r="B713" t="str">
            <v>'14463164',</v>
          </cell>
          <cell r="C713" t="str">
            <v>La Bombis y su rica selva</v>
          </cell>
          <cell r="D713" t="str">
            <v>PE Dir Lima</v>
          </cell>
          <cell r="E713" t="str">
            <v>PE Ger P1 Lima Oeste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>
            <v>14393623</v>
          </cell>
          <cell r="B714" t="str">
            <v>'14393623',</v>
          </cell>
          <cell r="C714" t="str">
            <v>Refugio Norteño</v>
          </cell>
          <cell r="D714" t="str">
            <v>PE Dir Lima</v>
          </cell>
          <cell r="E714" t="str">
            <v>PE Ger P1 Lima Oeste</v>
          </cell>
          <cell r="F714">
            <v>0</v>
          </cell>
          <cell r="G714">
            <v>1</v>
          </cell>
          <cell r="H714">
            <v>1</v>
          </cell>
          <cell r="I714">
            <v>0</v>
          </cell>
          <cell r="J714">
            <v>5</v>
          </cell>
          <cell r="K714">
            <v>5</v>
          </cell>
        </row>
        <row r="715">
          <cell r="A715">
            <v>14352506</v>
          </cell>
          <cell r="B715" t="str">
            <v>'14352506',</v>
          </cell>
          <cell r="C715" t="str">
            <v>Sabor y leña</v>
          </cell>
          <cell r="D715" t="str">
            <v>PE Dir Lima</v>
          </cell>
          <cell r="E715" t="str">
            <v>PE Ger P1 Lima Sur</v>
          </cell>
          <cell r="F715">
            <v>0</v>
          </cell>
          <cell r="G715">
            <v>2</v>
          </cell>
          <cell r="H715">
            <v>2</v>
          </cell>
          <cell r="I715">
            <v>0</v>
          </cell>
          <cell r="J715">
            <v>0</v>
          </cell>
          <cell r="K715">
            <v>0</v>
          </cell>
        </row>
        <row r="716">
          <cell r="A716">
            <v>14293640</v>
          </cell>
          <cell r="B716" t="str">
            <v>'14293640',</v>
          </cell>
          <cell r="C716" t="str">
            <v>Donde Yolo 2</v>
          </cell>
          <cell r="D716" t="str">
            <v>PE Dir Lima</v>
          </cell>
          <cell r="E716" t="str">
            <v>PE Ger P1 Lima Oeste</v>
          </cell>
          <cell r="F716">
            <v>0</v>
          </cell>
          <cell r="G716">
            <v>1</v>
          </cell>
          <cell r="H716">
            <v>1</v>
          </cell>
          <cell r="I716">
            <v>0</v>
          </cell>
          <cell r="J716">
            <v>0</v>
          </cell>
          <cell r="K716">
            <v>0</v>
          </cell>
        </row>
        <row r="717">
          <cell r="A717">
            <v>14092009</v>
          </cell>
          <cell r="B717" t="str">
            <v>'14092009',</v>
          </cell>
          <cell r="C717" t="str">
            <v>El Bunker de Chuchuito</v>
          </cell>
          <cell r="D717" t="str">
            <v>PE Dir Lima</v>
          </cell>
          <cell r="E717" t="str">
            <v>PE Ger P1 Lima Oeste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</row>
        <row r="718">
          <cell r="A718">
            <v>11748225</v>
          </cell>
          <cell r="B718" t="str">
            <v>'11748225',</v>
          </cell>
          <cell r="C718" t="str">
            <v>LA CHALANA 1</v>
          </cell>
          <cell r="D718" t="str">
            <v>PE Dir Lima</v>
          </cell>
          <cell r="E718" t="str">
            <v>PE Ger P1 Lima Sur</v>
          </cell>
          <cell r="F718">
            <v>0</v>
          </cell>
          <cell r="G718">
            <v>3</v>
          </cell>
          <cell r="H718">
            <v>3</v>
          </cell>
          <cell r="I718">
            <v>0</v>
          </cell>
          <cell r="J718">
            <v>0</v>
          </cell>
          <cell r="K718">
            <v>0</v>
          </cell>
        </row>
        <row r="719">
          <cell r="A719">
            <v>10165236</v>
          </cell>
          <cell r="B719" t="str">
            <v>'10165236',</v>
          </cell>
          <cell r="C719" t="str">
            <v>Chota y Bolivia</v>
          </cell>
          <cell r="D719" t="str">
            <v>PE Dir Lima</v>
          </cell>
          <cell r="E719" t="str">
            <v>PE Ger P1 Lima Centr</v>
          </cell>
          <cell r="F719">
            <v>0</v>
          </cell>
          <cell r="G719">
            <v>4</v>
          </cell>
          <cell r="H719">
            <v>4</v>
          </cell>
          <cell r="I719">
            <v>0</v>
          </cell>
          <cell r="J719">
            <v>0</v>
          </cell>
          <cell r="K719">
            <v>0</v>
          </cell>
        </row>
        <row r="720">
          <cell r="A720">
            <v>14343144</v>
          </cell>
          <cell r="B720" t="str">
            <v>'14343144',</v>
          </cell>
          <cell r="C720" t="str">
            <v>Rustica Puente Piedra</v>
          </cell>
          <cell r="D720" t="str">
            <v>PE Dir Lima</v>
          </cell>
          <cell r="E720" t="str">
            <v>PE Ger P1 Lima Norte</v>
          </cell>
          <cell r="F720">
            <v>0</v>
          </cell>
          <cell r="G720">
            <v>1</v>
          </cell>
          <cell r="H720">
            <v>1</v>
          </cell>
          <cell r="I720">
            <v>0</v>
          </cell>
          <cell r="J720">
            <v>0</v>
          </cell>
          <cell r="K720">
            <v>0</v>
          </cell>
        </row>
        <row r="721">
          <cell r="A721">
            <v>13646809</v>
          </cell>
          <cell r="B721" t="str">
            <v>'13646809',</v>
          </cell>
          <cell r="C721" t="str">
            <v>Cuy Chelero</v>
          </cell>
          <cell r="D721" t="str">
            <v>PE Dir Norte</v>
          </cell>
          <cell r="E721" t="str">
            <v>PE Ger P2 Trujillo</v>
          </cell>
          <cell r="F721">
            <v>0</v>
          </cell>
          <cell r="G721">
            <v>1</v>
          </cell>
          <cell r="H721">
            <v>1</v>
          </cell>
          <cell r="I721">
            <v>0</v>
          </cell>
          <cell r="J721">
            <v>0</v>
          </cell>
          <cell r="K721">
            <v>0</v>
          </cell>
        </row>
        <row r="722">
          <cell r="A722">
            <v>14313321</v>
          </cell>
          <cell r="B722" t="str">
            <v>'14313321',</v>
          </cell>
          <cell r="C722" t="str">
            <v>Rusitca Puruchuco</v>
          </cell>
          <cell r="D722" t="str">
            <v>PE Dir Lima</v>
          </cell>
          <cell r="E722" t="str">
            <v>PE Ger P1 Lima Este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</row>
        <row r="723">
          <cell r="A723">
            <v>13992073</v>
          </cell>
          <cell r="B723" t="str">
            <v>'13992073',</v>
          </cell>
          <cell r="C723" t="str">
            <v>Recreo la LORETANA</v>
          </cell>
          <cell r="D723" t="str">
            <v>PE Dir Centro Orient</v>
          </cell>
          <cell r="E723" t="str">
            <v>PE Ger P4 Tarapoto</v>
          </cell>
          <cell r="F723">
            <v>0</v>
          </cell>
          <cell r="G723">
            <v>0</v>
          </cell>
          <cell r="H723">
            <v>0</v>
          </cell>
          <cell r="I723">
            <v>2</v>
          </cell>
          <cell r="J723">
            <v>0</v>
          </cell>
          <cell r="K723">
            <v>2</v>
          </cell>
        </row>
        <row r="724">
          <cell r="A724">
            <v>14312177</v>
          </cell>
          <cell r="B724" t="str">
            <v>'14312177',</v>
          </cell>
          <cell r="C724" t="str">
            <v>Restaurante Riko Riko</v>
          </cell>
          <cell r="D724" t="str">
            <v>PE Dir Lima</v>
          </cell>
          <cell r="E724" t="str">
            <v>PE Ger P1 Lima Centr</v>
          </cell>
          <cell r="F724">
            <v>0</v>
          </cell>
          <cell r="G724">
            <v>2</v>
          </cell>
          <cell r="H724">
            <v>2</v>
          </cell>
          <cell r="I724">
            <v>2</v>
          </cell>
          <cell r="J724">
            <v>3</v>
          </cell>
          <cell r="K724">
            <v>5</v>
          </cell>
        </row>
        <row r="725">
          <cell r="A725">
            <v>10168629</v>
          </cell>
          <cell r="B725" t="str">
            <v>'10168629',</v>
          </cell>
          <cell r="C725" t="str">
            <v>El Lomito</v>
          </cell>
          <cell r="D725" t="str">
            <v>PE Dir Lima</v>
          </cell>
          <cell r="E725" t="str">
            <v>PE Ger P1 Lima Este</v>
          </cell>
          <cell r="F725">
            <v>0</v>
          </cell>
          <cell r="G725">
            <v>1</v>
          </cell>
          <cell r="H725">
            <v>1</v>
          </cell>
          <cell r="I725">
            <v>0</v>
          </cell>
          <cell r="J725">
            <v>0</v>
          </cell>
          <cell r="K725">
            <v>0</v>
          </cell>
        </row>
        <row r="726">
          <cell r="A726">
            <v>14204926</v>
          </cell>
          <cell r="B726" t="str">
            <v>'14204926',</v>
          </cell>
          <cell r="C726" t="str">
            <v>Rustica Chosica</v>
          </cell>
          <cell r="D726" t="str">
            <v>PE Dir Lima</v>
          </cell>
          <cell r="E726" t="str">
            <v>PE Ger P1 Lima Este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</row>
        <row r="727">
          <cell r="A727">
            <v>13769674</v>
          </cell>
          <cell r="B727" t="str">
            <v>'13769674',</v>
          </cell>
          <cell r="C727" t="str">
            <v>No canjeo aún</v>
          </cell>
          <cell r="D727" t="str">
            <v>PE Dir Lima</v>
          </cell>
          <cell r="E727" t="str">
            <v>PE Ger P1 Lima Este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3</v>
          </cell>
          <cell r="K727">
            <v>3</v>
          </cell>
        </row>
        <row r="728">
          <cell r="A728">
            <v>13206848</v>
          </cell>
          <cell r="B728" t="str">
            <v>'13206848',</v>
          </cell>
          <cell r="C728" t="str">
            <v>PUERTO 25</v>
          </cell>
          <cell r="D728" t="str">
            <v>PE Dir Lima</v>
          </cell>
          <cell r="E728" t="str">
            <v>PE Ger P1 Lima Este</v>
          </cell>
          <cell r="F728">
            <v>0</v>
          </cell>
          <cell r="G728">
            <v>1</v>
          </cell>
          <cell r="H728">
            <v>1</v>
          </cell>
          <cell r="I728">
            <v>0</v>
          </cell>
          <cell r="J728">
            <v>0</v>
          </cell>
          <cell r="K728">
            <v>0</v>
          </cell>
        </row>
        <row r="729">
          <cell r="A729">
            <v>11594590</v>
          </cell>
          <cell r="B729" t="str">
            <v>'11594590',</v>
          </cell>
          <cell r="C729" t="str">
            <v>El Barquero</v>
          </cell>
          <cell r="D729" t="str">
            <v>PE Dir Lima</v>
          </cell>
          <cell r="E729" t="str">
            <v>PE Ger P1 Lima Norte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</row>
        <row r="730">
          <cell r="A730">
            <v>11437795</v>
          </cell>
          <cell r="B730" t="str">
            <v>'11437795',</v>
          </cell>
          <cell r="C730" t="str">
            <v>Restaurante Don Limon</v>
          </cell>
          <cell r="D730" t="str">
            <v>PE Dir Norte</v>
          </cell>
          <cell r="E730" t="str">
            <v>PE Ger P2 Piura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</row>
        <row r="731">
          <cell r="A731">
            <v>14128430</v>
          </cell>
          <cell r="B731" t="str">
            <v>'14128430',</v>
          </cell>
          <cell r="C731" t="str">
            <v>Sumak Paracas</v>
          </cell>
          <cell r="D731" t="str">
            <v>PE Dir Sur</v>
          </cell>
          <cell r="E731" t="str">
            <v>PE Ger P3 Sur Chico</v>
          </cell>
          <cell r="F731">
            <v>0</v>
          </cell>
          <cell r="G731">
            <v>10</v>
          </cell>
          <cell r="H731">
            <v>10</v>
          </cell>
          <cell r="I731">
            <v>0</v>
          </cell>
          <cell r="J731">
            <v>5</v>
          </cell>
          <cell r="K731">
            <v>5</v>
          </cell>
        </row>
        <row r="732">
          <cell r="A732">
            <v>14435287</v>
          </cell>
          <cell r="B732" t="str">
            <v>'14435287',</v>
          </cell>
          <cell r="C732" t="str">
            <v>El Zambo Pepe</v>
          </cell>
          <cell r="D732" t="str">
            <v>PE Dir Sur</v>
          </cell>
          <cell r="E732" t="str">
            <v>PE Ger P3 Sur Chico</v>
          </cell>
          <cell r="F732">
            <v>0</v>
          </cell>
          <cell r="G732">
            <v>12</v>
          </cell>
          <cell r="H732">
            <v>12</v>
          </cell>
          <cell r="I732">
            <v>0</v>
          </cell>
          <cell r="J732">
            <v>0</v>
          </cell>
          <cell r="K732">
            <v>0</v>
          </cell>
        </row>
        <row r="733">
          <cell r="A733">
            <v>13880747</v>
          </cell>
          <cell r="B733" t="str">
            <v>'13880747',</v>
          </cell>
          <cell r="C733" t="str">
            <v>No canjeo aún</v>
          </cell>
          <cell r="D733" t="str">
            <v>PE Dir Lima</v>
          </cell>
          <cell r="E733" t="str">
            <v>PE Ger P1 Lima Sur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</row>
        <row r="734">
          <cell r="A734">
            <v>14298012</v>
          </cell>
          <cell r="B734" t="str">
            <v>'14298012',</v>
          </cell>
          <cell r="C734" t="str">
            <v>Cevichería el Encanto Norteño</v>
          </cell>
          <cell r="D734" t="str">
            <v>PE Dir Centro Orient</v>
          </cell>
          <cell r="E734" t="str">
            <v>PE Ger P4 Tarapoto</v>
          </cell>
          <cell r="F734">
            <v>0</v>
          </cell>
          <cell r="G734">
            <v>1</v>
          </cell>
          <cell r="H734">
            <v>1</v>
          </cell>
          <cell r="I734">
            <v>1</v>
          </cell>
          <cell r="J734">
            <v>0</v>
          </cell>
          <cell r="K734">
            <v>1</v>
          </cell>
        </row>
        <row r="735">
          <cell r="A735">
            <v>12571719</v>
          </cell>
          <cell r="B735" t="str">
            <v>'12571719',</v>
          </cell>
          <cell r="C735" t="str">
            <v>Restaurant Dos Amores</v>
          </cell>
          <cell r="D735" t="str">
            <v>PE Dir Norte</v>
          </cell>
          <cell r="E735" t="str">
            <v>PE Ger P2 Piura</v>
          </cell>
          <cell r="F735">
            <v>0</v>
          </cell>
          <cell r="G735">
            <v>3</v>
          </cell>
          <cell r="H735">
            <v>3</v>
          </cell>
          <cell r="I735">
            <v>1</v>
          </cell>
          <cell r="J735">
            <v>2</v>
          </cell>
          <cell r="K735">
            <v>3</v>
          </cell>
        </row>
        <row r="736">
          <cell r="A736">
            <v>11041264</v>
          </cell>
          <cell r="B736" t="str">
            <v>'11041264',</v>
          </cell>
          <cell r="C736" t="str">
            <v>Rinconcito Piurano</v>
          </cell>
          <cell r="D736" t="str">
            <v>PE Dir Centro Orient</v>
          </cell>
          <cell r="E736" t="str">
            <v>PE Ger P4 Tarapoto</v>
          </cell>
          <cell r="F736">
            <v>0</v>
          </cell>
          <cell r="G736">
            <v>2</v>
          </cell>
          <cell r="H736">
            <v>2</v>
          </cell>
          <cell r="I736">
            <v>0</v>
          </cell>
          <cell r="J736">
            <v>0</v>
          </cell>
          <cell r="K736">
            <v>0</v>
          </cell>
        </row>
        <row r="737">
          <cell r="A737">
            <v>14354317</v>
          </cell>
          <cell r="B737" t="str">
            <v>'14354317',</v>
          </cell>
          <cell r="C737" t="str">
            <v>Wayra &amp; tinajon</v>
          </cell>
          <cell r="D737" t="str">
            <v>PE Dir Lima</v>
          </cell>
          <cell r="E737" t="str">
            <v>PE Ger P1 Lima Este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</row>
        <row r="738">
          <cell r="A738">
            <v>13405388</v>
          </cell>
          <cell r="B738" t="str">
            <v>'13405388',</v>
          </cell>
          <cell r="C738" t="str">
            <v>No canjeo aún</v>
          </cell>
          <cell r="D738" t="str">
            <v>PE Dir Lima</v>
          </cell>
          <cell r="E738" t="str">
            <v>PE Ger P1 Lima Este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4</v>
          </cell>
          <cell r="K738">
            <v>4</v>
          </cell>
        </row>
        <row r="739">
          <cell r="A739">
            <v>13055034</v>
          </cell>
          <cell r="B739" t="str">
            <v>'13055034',</v>
          </cell>
          <cell r="C739" t="str">
            <v>BARRA MARINA</v>
          </cell>
          <cell r="D739" t="str">
            <v>PE Dir Lima</v>
          </cell>
          <cell r="E739" t="str">
            <v>PE Ger P1 Lima Centr</v>
          </cell>
          <cell r="F739">
            <v>0</v>
          </cell>
          <cell r="G739">
            <v>1</v>
          </cell>
          <cell r="H739">
            <v>1</v>
          </cell>
          <cell r="I739">
            <v>0</v>
          </cell>
          <cell r="J739">
            <v>1</v>
          </cell>
          <cell r="K739">
            <v>1</v>
          </cell>
        </row>
        <row r="740">
          <cell r="A740">
            <v>12195364</v>
          </cell>
          <cell r="B740" t="str">
            <v>'12195364',</v>
          </cell>
          <cell r="C740" t="str">
            <v>La charapita</v>
          </cell>
          <cell r="D740" t="str">
            <v>PE Dir Lima</v>
          </cell>
          <cell r="E740" t="str">
            <v>PE Ger P1 Lima Sur</v>
          </cell>
          <cell r="F740">
            <v>0</v>
          </cell>
          <cell r="G740">
            <v>2</v>
          </cell>
          <cell r="H740">
            <v>2</v>
          </cell>
          <cell r="I740">
            <v>0</v>
          </cell>
          <cell r="J740">
            <v>0</v>
          </cell>
          <cell r="K740">
            <v>0</v>
          </cell>
        </row>
        <row r="741">
          <cell r="A741">
            <v>12488575</v>
          </cell>
          <cell r="B741" t="str">
            <v>'12488575',</v>
          </cell>
          <cell r="C741" t="str">
            <v>El sabor del Norte Chico97</v>
          </cell>
          <cell r="D741" t="str">
            <v>PE Dir Lima</v>
          </cell>
          <cell r="E741" t="str">
            <v>PE Ger P1 Lima Sur</v>
          </cell>
          <cell r="F741">
            <v>0</v>
          </cell>
          <cell r="G741">
            <v>5</v>
          </cell>
          <cell r="H741">
            <v>5</v>
          </cell>
          <cell r="I741">
            <v>0</v>
          </cell>
          <cell r="J741">
            <v>0</v>
          </cell>
          <cell r="K741">
            <v>0</v>
          </cell>
        </row>
        <row r="742">
          <cell r="A742">
            <v>14286276</v>
          </cell>
          <cell r="B742" t="str">
            <v>'14286276',</v>
          </cell>
          <cell r="C742" t="str">
            <v>EL TIO GUNTHER</v>
          </cell>
          <cell r="D742" t="str">
            <v>PE Dir Lima</v>
          </cell>
          <cell r="E742" t="str">
            <v>PE Ger P1 Lima Sur</v>
          </cell>
          <cell r="F742">
            <v>0</v>
          </cell>
          <cell r="G742">
            <v>5</v>
          </cell>
          <cell r="H742">
            <v>5</v>
          </cell>
          <cell r="I742">
            <v>0</v>
          </cell>
          <cell r="J742">
            <v>0</v>
          </cell>
          <cell r="K742">
            <v>0</v>
          </cell>
        </row>
        <row r="743">
          <cell r="A743">
            <v>13493154</v>
          </cell>
          <cell r="B743" t="str">
            <v>'13493154',</v>
          </cell>
          <cell r="C743" t="str">
            <v>Sabor Chiclayano</v>
          </cell>
          <cell r="D743" t="str">
            <v>PE Dir Lima</v>
          </cell>
          <cell r="E743" t="str">
            <v>PE Ger P1 Lima Centr</v>
          </cell>
          <cell r="F743">
            <v>0</v>
          </cell>
          <cell r="G743">
            <v>2</v>
          </cell>
          <cell r="H743">
            <v>2</v>
          </cell>
          <cell r="I743">
            <v>0</v>
          </cell>
          <cell r="J743">
            <v>0</v>
          </cell>
          <cell r="K743">
            <v>0</v>
          </cell>
        </row>
        <row r="744">
          <cell r="A744">
            <v>14437951</v>
          </cell>
          <cell r="B744" t="str">
            <v>'14437951',</v>
          </cell>
          <cell r="C744" t="str">
            <v>No canjeo aún</v>
          </cell>
          <cell r="D744" t="str">
            <v>PE Dir Lima</v>
          </cell>
          <cell r="E744" t="str">
            <v>PE Ger P1 Norte Chi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1</v>
          </cell>
          <cell r="K744">
            <v>1</v>
          </cell>
        </row>
        <row r="745">
          <cell r="A745">
            <v>14463255</v>
          </cell>
          <cell r="B745" t="str">
            <v>'14463255',</v>
          </cell>
          <cell r="C745" t="str">
            <v>Ancestral</v>
          </cell>
          <cell r="D745" t="str">
            <v>PE Dir Lima</v>
          </cell>
          <cell r="E745" t="str">
            <v>PE Ger P1 Lima Sur</v>
          </cell>
          <cell r="F745">
            <v>0</v>
          </cell>
          <cell r="G745">
            <v>2</v>
          </cell>
          <cell r="H745">
            <v>2</v>
          </cell>
          <cell r="I745">
            <v>0</v>
          </cell>
          <cell r="J745">
            <v>0</v>
          </cell>
          <cell r="K745">
            <v>0</v>
          </cell>
        </row>
        <row r="746">
          <cell r="A746">
            <v>14392816</v>
          </cell>
          <cell r="B746" t="str">
            <v>'14392816',</v>
          </cell>
          <cell r="C746" t="str">
            <v>No canjeo aún</v>
          </cell>
          <cell r="D746" t="str">
            <v>PE Dir Lima</v>
          </cell>
          <cell r="E746" t="str">
            <v>PE Ger P1 Lima Oeste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</row>
        <row r="747">
          <cell r="A747">
            <v>14382395</v>
          </cell>
          <cell r="B747" t="str">
            <v>'14382395',</v>
          </cell>
          <cell r="C747" t="str">
            <v>Marbella</v>
          </cell>
          <cell r="D747" t="str">
            <v>PE Dir Lima</v>
          </cell>
          <cell r="E747" t="str">
            <v>PE Ger P1 Lima Oeste</v>
          </cell>
          <cell r="F747">
            <v>0</v>
          </cell>
          <cell r="G747">
            <v>3</v>
          </cell>
          <cell r="H747">
            <v>3</v>
          </cell>
          <cell r="I747">
            <v>0</v>
          </cell>
          <cell r="J747">
            <v>0</v>
          </cell>
          <cell r="K747">
            <v>0</v>
          </cell>
        </row>
        <row r="748">
          <cell r="A748">
            <v>14357800</v>
          </cell>
          <cell r="B748" t="str">
            <v>'14357800',</v>
          </cell>
          <cell r="C748" t="str">
            <v>Puerto Pacasmayo</v>
          </cell>
          <cell r="D748" t="str">
            <v>PE Dir Lima</v>
          </cell>
          <cell r="E748" t="str">
            <v>PE Ger P1 Lima Sur</v>
          </cell>
          <cell r="F748">
            <v>0</v>
          </cell>
          <cell r="G748">
            <v>5</v>
          </cell>
          <cell r="H748">
            <v>5</v>
          </cell>
          <cell r="I748">
            <v>0</v>
          </cell>
          <cell r="J748">
            <v>0</v>
          </cell>
          <cell r="K748">
            <v>0</v>
          </cell>
        </row>
        <row r="749">
          <cell r="A749">
            <v>14165239</v>
          </cell>
          <cell r="B749" t="str">
            <v>'14165239',</v>
          </cell>
          <cell r="C749" t="str">
            <v>Maicelo Restobar</v>
          </cell>
          <cell r="D749" t="str">
            <v>PE Dir Lima</v>
          </cell>
          <cell r="E749" t="str">
            <v>PE Ger P1 Lima Este</v>
          </cell>
          <cell r="F749">
            <v>0</v>
          </cell>
          <cell r="G749">
            <v>1</v>
          </cell>
          <cell r="H749">
            <v>1</v>
          </cell>
          <cell r="I749">
            <v>0</v>
          </cell>
          <cell r="J749">
            <v>1</v>
          </cell>
          <cell r="K749">
            <v>1</v>
          </cell>
        </row>
        <row r="750">
          <cell r="A750">
            <v>13953753</v>
          </cell>
          <cell r="B750" t="str">
            <v>'13953753',</v>
          </cell>
          <cell r="C750" t="str">
            <v>El Bunker Del Yuyero</v>
          </cell>
          <cell r="D750" t="str">
            <v>PE Dir Lima</v>
          </cell>
          <cell r="E750" t="str">
            <v>PE Ger P1 Lima Sur</v>
          </cell>
          <cell r="F750">
            <v>0</v>
          </cell>
          <cell r="G750">
            <v>7</v>
          </cell>
          <cell r="H750">
            <v>7</v>
          </cell>
          <cell r="I750">
            <v>0</v>
          </cell>
          <cell r="J750">
            <v>5</v>
          </cell>
          <cell r="K750">
            <v>5</v>
          </cell>
        </row>
        <row r="751">
          <cell r="A751">
            <v>13943997</v>
          </cell>
          <cell r="B751" t="str">
            <v>'13943997',</v>
          </cell>
          <cell r="C751" t="str">
            <v>Las conchas de Gamarra</v>
          </cell>
          <cell r="D751" t="str">
            <v>PE Dir Lima</v>
          </cell>
          <cell r="E751" t="str">
            <v>PE Ger P1 Lima Este</v>
          </cell>
          <cell r="F751">
            <v>0</v>
          </cell>
          <cell r="G751">
            <v>7</v>
          </cell>
          <cell r="H751">
            <v>7</v>
          </cell>
          <cell r="I751">
            <v>0</v>
          </cell>
          <cell r="J751">
            <v>0</v>
          </cell>
          <cell r="K751">
            <v>0</v>
          </cell>
        </row>
        <row r="752">
          <cell r="A752">
            <v>13515087</v>
          </cell>
          <cell r="B752" t="str">
            <v>'13515087',</v>
          </cell>
          <cell r="C752" t="str">
            <v>Restaurante San Carlos</v>
          </cell>
          <cell r="D752" t="str">
            <v>PE Dir Lima</v>
          </cell>
          <cell r="E752" t="str">
            <v>PE Ger P1 Lima Este</v>
          </cell>
          <cell r="F752">
            <v>0</v>
          </cell>
          <cell r="G752">
            <v>1</v>
          </cell>
          <cell r="H752">
            <v>1</v>
          </cell>
          <cell r="I752">
            <v>0</v>
          </cell>
          <cell r="J752">
            <v>0</v>
          </cell>
          <cell r="K752">
            <v>0</v>
          </cell>
        </row>
        <row r="753">
          <cell r="A753">
            <v>13406046</v>
          </cell>
          <cell r="B753" t="str">
            <v>'13406046',</v>
          </cell>
          <cell r="C753" t="str">
            <v>El Búnker Suyanero</v>
          </cell>
          <cell r="D753" t="str">
            <v>PE Dir Lima</v>
          </cell>
          <cell r="E753" t="str">
            <v>PE Ger P1 Lima Sur</v>
          </cell>
          <cell r="F753">
            <v>0</v>
          </cell>
          <cell r="G753">
            <v>5</v>
          </cell>
          <cell r="H753">
            <v>5</v>
          </cell>
          <cell r="I753">
            <v>0</v>
          </cell>
          <cell r="J753">
            <v>3</v>
          </cell>
          <cell r="K753">
            <v>3</v>
          </cell>
        </row>
        <row r="754">
          <cell r="A754">
            <v>13319258</v>
          </cell>
          <cell r="B754" t="str">
            <v>'13319258',</v>
          </cell>
          <cell r="C754" t="str">
            <v>Cevichería Alicia</v>
          </cell>
          <cell r="D754" t="str">
            <v>PE Dir Lima</v>
          </cell>
          <cell r="E754" t="str">
            <v>PE Ger P1 Lima Oeste</v>
          </cell>
          <cell r="F754">
            <v>0</v>
          </cell>
          <cell r="G754">
            <v>2</v>
          </cell>
          <cell r="H754">
            <v>2</v>
          </cell>
          <cell r="I754">
            <v>0</v>
          </cell>
          <cell r="J754">
            <v>0</v>
          </cell>
          <cell r="K754">
            <v>0</v>
          </cell>
        </row>
        <row r="755">
          <cell r="A755">
            <v>13020026</v>
          </cell>
          <cell r="B755" t="str">
            <v>'13020026',</v>
          </cell>
          <cell r="C755" t="str">
            <v>MARYMAR</v>
          </cell>
          <cell r="D755" t="str">
            <v>PE Dir Lima</v>
          </cell>
          <cell r="E755" t="str">
            <v>PE Ger P1 Lima Oeste</v>
          </cell>
          <cell r="F755">
            <v>0</v>
          </cell>
          <cell r="G755">
            <v>2</v>
          </cell>
          <cell r="H755">
            <v>2</v>
          </cell>
          <cell r="I755">
            <v>0</v>
          </cell>
          <cell r="J755">
            <v>0</v>
          </cell>
          <cell r="K755">
            <v>0</v>
          </cell>
        </row>
        <row r="756">
          <cell r="A756">
            <v>11382438</v>
          </cell>
          <cell r="B756" t="str">
            <v>'11382438',</v>
          </cell>
          <cell r="C756" t="str">
            <v>No canjeo aún</v>
          </cell>
          <cell r="D756" t="str">
            <v>PE Dir Lima</v>
          </cell>
          <cell r="E756" t="str">
            <v>PE Ger P1 Lima Oeste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</row>
        <row r="757">
          <cell r="A757">
            <v>11268064</v>
          </cell>
          <cell r="B757" t="str">
            <v>'11268064',</v>
          </cell>
          <cell r="C757" t="str">
            <v>No canjeo aún</v>
          </cell>
          <cell r="D757" t="str">
            <v>PE Dir Lima</v>
          </cell>
          <cell r="E757" t="str">
            <v>PE Ger P1 Lima Oeste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</row>
        <row r="758">
          <cell r="A758">
            <v>10973712</v>
          </cell>
          <cell r="B758" t="str">
            <v>'10973712',</v>
          </cell>
          <cell r="C758" t="str">
            <v>LA GRINGA</v>
          </cell>
          <cell r="D758" t="str">
            <v>PE Dir Lima</v>
          </cell>
          <cell r="E758" t="str">
            <v>PE Ger P1 Lima Sur</v>
          </cell>
          <cell r="F758">
            <v>0</v>
          </cell>
          <cell r="G758">
            <v>2</v>
          </cell>
          <cell r="H758">
            <v>2</v>
          </cell>
          <cell r="I758">
            <v>0</v>
          </cell>
          <cell r="J758">
            <v>0</v>
          </cell>
          <cell r="K758">
            <v>0</v>
          </cell>
        </row>
        <row r="759">
          <cell r="A759">
            <v>10256733</v>
          </cell>
          <cell r="B759" t="str">
            <v>'10256733',</v>
          </cell>
          <cell r="C759" t="str">
            <v>Los Delfines</v>
          </cell>
          <cell r="D759" t="str">
            <v>PE Dir Lima</v>
          </cell>
          <cell r="E759" t="str">
            <v>PE Ger P1 Lima Oeste</v>
          </cell>
          <cell r="F759">
            <v>0</v>
          </cell>
          <cell r="G759">
            <v>2</v>
          </cell>
          <cell r="H759">
            <v>2</v>
          </cell>
          <cell r="I759">
            <v>0</v>
          </cell>
          <cell r="J759">
            <v>0</v>
          </cell>
          <cell r="K759">
            <v>0</v>
          </cell>
        </row>
        <row r="760">
          <cell r="A760">
            <v>10239389</v>
          </cell>
          <cell r="B760" t="str">
            <v>'10239389',</v>
          </cell>
          <cell r="C760" t="str">
            <v>No canjeo aún</v>
          </cell>
          <cell r="D760" t="str">
            <v>PE Dir Lima</v>
          </cell>
          <cell r="E760" t="str">
            <v>PE Ger P1 Lima Oeste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</row>
        <row r="761">
          <cell r="A761">
            <v>14463213</v>
          </cell>
          <cell r="B761" t="str">
            <v>'14463213',</v>
          </cell>
          <cell r="C761" t="str">
            <v>Cevicheria flores</v>
          </cell>
          <cell r="D761" t="str">
            <v>PE Dir Lima</v>
          </cell>
          <cell r="E761" t="str">
            <v>PE Ger P1 Lima Norte</v>
          </cell>
          <cell r="F761">
            <v>0</v>
          </cell>
          <cell r="G761">
            <v>1</v>
          </cell>
          <cell r="H761">
            <v>1</v>
          </cell>
          <cell r="I761">
            <v>0</v>
          </cell>
          <cell r="J761">
            <v>0</v>
          </cell>
          <cell r="K761">
            <v>0</v>
          </cell>
        </row>
        <row r="762">
          <cell r="A762">
            <v>14086102</v>
          </cell>
          <cell r="B762" t="str">
            <v>'14086102',</v>
          </cell>
          <cell r="C762" t="str">
            <v>La Mar &amp; sus peces</v>
          </cell>
          <cell r="D762" t="str">
            <v>PE Dir Lima</v>
          </cell>
          <cell r="E762" t="str">
            <v>PE Ger P1 Lima Norte</v>
          </cell>
          <cell r="F762">
            <v>0</v>
          </cell>
          <cell r="G762">
            <v>3</v>
          </cell>
          <cell r="H762">
            <v>3</v>
          </cell>
          <cell r="I762">
            <v>0</v>
          </cell>
          <cell r="J762">
            <v>0</v>
          </cell>
          <cell r="K762">
            <v>0</v>
          </cell>
        </row>
        <row r="763">
          <cell r="A763">
            <v>13963950</v>
          </cell>
          <cell r="B763" t="str">
            <v>'13963950',</v>
          </cell>
          <cell r="C763" t="str">
            <v>Punto pez</v>
          </cell>
          <cell r="D763" t="str">
            <v>PE Dir Lima</v>
          </cell>
          <cell r="E763" t="str">
            <v>PE Ger P1 Lima Este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</row>
        <row r="764">
          <cell r="A764">
            <v>13862652</v>
          </cell>
          <cell r="B764" t="str">
            <v>'13862652',</v>
          </cell>
          <cell r="C764" t="str">
            <v>50 piratas</v>
          </cell>
          <cell r="D764" t="str">
            <v>PE Dir Lima</v>
          </cell>
          <cell r="E764" t="str">
            <v>PE Ger P1 Lima Norte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</row>
        <row r="765">
          <cell r="A765">
            <v>13476247</v>
          </cell>
          <cell r="B765" t="str">
            <v>'13476247',</v>
          </cell>
          <cell r="C765" t="str">
            <v>Futbol y Sabor</v>
          </cell>
          <cell r="D765" t="str">
            <v>PE Dir Lima</v>
          </cell>
          <cell r="E765" t="str">
            <v>PE Ger P1 Lima Centr</v>
          </cell>
          <cell r="F765">
            <v>0</v>
          </cell>
          <cell r="G765">
            <v>1</v>
          </cell>
          <cell r="H765">
            <v>1</v>
          </cell>
          <cell r="I765">
            <v>0</v>
          </cell>
          <cell r="J765">
            <v>0</v>
          </cell>
          <cell r="K765">
            <v>0</v>
          </cell>
        </row>
        <row r="766">
          <cell r="A766">
            <v>12733195</v>
          </cell>
          <cell r="B766" t="str">
            <v>'12733195',</v>
          </cell>
          <cell r="C766" t="str">
            <v>La huanuqueña</v>
          </cell>
          <cell r="D766" t="str">
            <v>PE Dir Lima</v>
          </cell>
          <cell r="E766" t="str">
            <v>PE Ger P1 Lima Norte</v>
          </cell>
          <cell r="F766">
            <v>0</v>
          </cell>
          <cell r="G766">
            <v>25</v>
          </cell>
          <cell r="H766">
            <v>25</v>
          </cell>
          <cell r="I766">
            <v>0</v>
          </cell>
          <cell r="J766">
            <v>12</v>
          </cell>
          <cell r="K766">
            <v>12</v>
          </cell>
        </row>
        <row r="767">
          <cell r="A767">
            <v>12541801</v>
          </cell>
          <cell r="B767" t="str">
            <v>'12541801',</v>
          </cell>
          <cell r="C767" t="str">
            <v>No canjeo aún</v>
          </cell>
          <cell r="D767" t="str">
            <v>PE Dir Lima</v>
          </cell>
          <cell r="E767" t="str">
            <v>PE Ger P1 Norte Chi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</row>
        <row r="768">
          <cell r="A768">
            <v>11669868</v>
          </cell>
          <cell r="B768" t="str">
            <v>'11669868',</v>
          </cell>
          <cell r="C768" t="str">
            <v>Cevicheria Mechita</v>
          </cell>
          <cell r="D768" t="str">
            <v>PE Dir Lima</v>
          </cell>
          <cell r="E768" t="str">
            <v>PE Ger P1 Lima Norte</v>
          </cell>
          <cell r="F768">
            <v>0</v>
          </cell>
          <cell r="G768">
            <v>4</v>
          </cell>
          <cell r="H768">
            <v>4</v>
          </cell>
          <cell r="I768">
            <v>0</v>
          </cell>
          <cell r="J768">
            <v>4</v>
          </cell>
          <cell r="K768">
            <v>4</v>
          </cell>
        </row>
        <row r="769">
          <cell r="A769">
            <v>12190049</v>
          </cell>
          <cell r="B769" t="str">
            <v>'12190049',</v>
          </cell>
          <cell r="C769" t="str">
            <v>Restaurant Cevicheria La Esquina De Vicky</v>
          </cell>
          <cell r="D769" t="str">
            <v>PE Dir Norte</v>
          </cell>
          <cell r="E769" t="str">
            <v>PE Ger P2 Piura</v>
          </cell>
          <cell r="F769">
            <v>0</v>
          </cell>
          <cell r="G769">
            <v>1</v>
          </cell>
          <cell r="H769">
            <v>1</v>
          </cell>
          <cell r="I769">
            <v>0</v>
          </cell>
          <cell r="J769">
            <v>0</v>
          </cell>
          <cell r="K769">
            <v>0</v>
          </cell>
        </row>
        <row r="770">
          <cell r="A770">
            <v>13026317</v>
          </cell>
          <cell r="B770" t="str">
            <v>'13026317',</v>
          </cell>
          <cell r="C770" t="str">
            <v>No canjeo aún</v>
          </cell>
          <cell r="D770" t="str">
            <v>PE Dir Norte</v>
          </cell>
          <cell r="E770" t="str">
            <v>PE Ger P2 Ancash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</row>
        <row r="771">
          <cell r="A771">
            <v>12167915</v>
          </cell>
          <cell r="B771" t="str">
            <v>'12167915',</v>
          </cell>
          <cell r="C771" t="str">
            <v>Embarcadero 41 - Mall Aventura Porongoche</v>
          </cell>
          <cell r="D771" t="str">
            <v>PE Dir Sur</v>
          </cell>
          <cell r="E771" t="str">
            <v>PE Ger P3 Arequipa</v>
          </cell>
          <cell r="F771">
            <v>0</v>
          </cell>
          <cell r="G771">
            <v>4</v>
          </cell>
          <cell r="H771">
            <v>4</v>
          </cell>
          <cell r="I771">
            <v>0</v>
          </cell>
          <cell r="J771">
            <v>0</v>
          </cell>
          <cell r="K771">
            <v>0</v>
          </cell>
        </row>
        <row r="772">
          <cell r="A772">
            <v>13946656</v>
          </cell>
          <cell r="B772" t="str">
            <v>'13946656',</v>
          </cell>
          <cell r="C772" t="str">
            <v>Socabaya</v>
          </cell>
          <cell r="D772" t="str">
            <v>PE Dir Sur</v>
          </cell>
          <cell r="E772" t="str">
            <v>PE Ger P3 Tacna</v>
          </cell>
          <cell r="F772">
            <v>0</v>
          </cell>
          <cell r="G772">
            <v>8</v>
          </cell>
          <cell r="H772">
            <v>8</v>
          </cell>
          <cell r="I772">
            <v>0</v>
          </cell>
          <cell r="J772">
            <v>0</v>
          </cell>
          <cell r="K772">
            <v>0</v>
          </cell>
        </row>
        <row r="773">
          <cell r="A773">
            <v>14450860</v>
          </cell>
          <cell r="B773" t="str">
            <v>'14450860',</v>
          </cell>
          <cell r="C773" t="str">
            <v>TUYA PEZ</v>
          </cell>
          <cell r="D773" t="str">
            <v>PE Dir Lima</v>
          </cell>
          <cell r="E773" t="str">
            <v>PE Ger P1 Lima Centr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1</v>
          </cell>
          <cell r="K773">
            <v>1</v>
          </cell>
        </row>
        <row r="774">
          <cell r="A774">
            <v>13717432</v>
          </cell>
          <cell r="B774" t="str">
            <v>'13717432',</v>
          </cell>
          <cell r="C774" t="str">
            <v>La Caleta</v>
          </cell>
          <cell r="D774" t="str">
            <v>PE Dir Sur</v>
          </cell>
          <cell r="E774" t="str">
            <v>PE Ger P3 Arequipa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3</v>
          </cell>
          <cell r="K774">
            <v>3</v>
          </cell>
        </row>
        <row r="775">
          <cell r="A775">
            <v>10218431</v>
          </cell>
          <cell r="B775" t="str">
            <v>'10218431',</v>
          </cell>
          <cell r="C775" t="str">
            <v>Restaurante Catalina</v>
          </cell>
          <cell r="D775" t="str">
            <v>PE Dir Lima</v>
          </cell>
          <cell r="E775" t="str">
            <v>PE Ger P1 Lima Norte</v>
          </cell>
          <cell r="F775">
            <v>0</v>
          </cell>
          <cell r="G775">
            <v>3</v>
          </cell>
          <cell r="H775">
            <v>3</v>
          </cell>
          <cell r="I775">
            <v>0</v>
          </cell>
          <cell r="J775">
            <v>3</v>
          </cell>
          <cell r="K775">
            <v>3</v>
          </cell>
        </row>
        <row r="776">
          <cell r="A776">
            <v>10211371</v>
          </cell>
          <cell r="B776" t="str">
            <v>'10211371',</v>
          </cell>
          <cell r="C776" t="str">
            <v>Las Rejas Restaurante</v>
          </cell>
          <cell r="D776" t="str">
            <v>PE Dir Lima</v>
          </cell>
          <cell r="E776" t="str">
            <v>PE Ger P1 Lima Este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1</v>
          </cell>
          <cell r="K776">
            <v>1</v>
          </cell>
        </row>
        <row r="777">
          <cell r="A777">
            <v>14219319</v>
          </cell>
          <cell r="B777" t="str">
            <v>'14219319',</v>
          </cell>
          <cell r="C777" t="str">
            <v>Riconcito selvático</v>
          </cell>
          <cell r="D777" t="str">
            <v>PE Dir Lima</v>
          </cell>
          <cell r="E777" t="str">
            <v>PE Ger P1 Lima Este</v>
          </cell>
          <cell r="F777">
            <v>0</v>
          </cell>
          <cell r="G777">
            <v>1</v>
          </cell>
          <cell r="H777">
            <v>1</v>
          </cell>
          <cell r="I777">
            <v>0</v>
          </cell>
          <cell r="J777">
            <v>0</v>
          </cell>
          <cell r="K777">
            <v>0</v>
          </cell>
        </row>
        <row r="778">
          <cell r="A778">
            <v>14017557</v>
          </cell>
          <cell r="B778" t="str">
            <v>'14017557',</v>
          </cell>
          <cell r="C778" t="str">
            <v>BOLIVAR</v>
          </cell>
          <cell r="D778" t="str">
            <v>PE Dir Lima</v>
          </cell>
          <cell r="E778" t="str">
            <v>PE Ger P1 Norte Chi</v>
          </cell>
          <cell r="F778">
            <v>0</v>
          </cell>
          <cell r="G778">
            <v>7</v>
          </cell>
          <cell r="H778">
            <v>7</v>
          </cell>
          <cell r="I778">
            <v>0</v>
          </cell>
          <cell r="J778">
            <v>4</v>
          </cell>
          <cell r="K778">
            <v>4</v>
          </cell>
        </row>
        <row r="779">
          <cell r="A779">
            <v>12548114</v>
          </cell>
          <cell r="B779" t="str">
            <v>'12548114',</v>
          </cell>
          <cell r="C779" t="str">
            <v>El Encanto de Piurano</v>
          </cell>
          <cell r="D779" t="str">
            <v>PE Dir Lima</v>
          </cell>
          <cell r="E779" t="str">
            <v>PE Ger P1 Lima Norte</v>
          </cell>
          <cell r="F779">
            <v>0</v>
          </cell>
          <cell r="G779">
            <v>5</v>
          </cell>
          <cell r="H779">
            <v>5</v>
          </cell>
          <cell r="I779">
            <v>0</v>
          </cell>
          <cell r="J779">
            <v>0</v>
          </cell>
          <cell r="K779">
            <v>0</v>
          </cell>
        </row>
        <row r="780">
          <cell r="A780">
            <v>12995669</v>
          </cell>
          <cell r="B780" t="str">
            <v>'12995669',</v>
          </cell>
          <cell r="C780" t="str">
            <v>No canjeo aún</v>
          </cell>
          <cell r="D780" t="str">
            <v>PE Dir Norte</v>
          </cell>
          <cell r="E780" t="str">
            <v>PE Ger P2 Tumbes T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</row>
        <row r="781">
          <cell r="A781">
            <v>14314049</v>
          </cell>
          <cell r="B781" t="str">
            <v>'14314049',</v>
          </cell>
          <cell r="C781" t="str">
            <v>Restobar  TIQTI</v>
          </cell>
          <cell r="D781" t="str">
            <v>PE Dir Norte</v>
          </cell>
          <cell r="E781" t="str">
            <v>PE Ger P2 Piura</v>
          </cell>
          <cell r="F781">
            <v>0</v>
          </cell>
          <cell r="G781">
            <v>5</v>
          </cell>
          <cell r="H781">
            <v>5</v>
          </cell>
          <cell r="I781">
            <v>0</v>
          </cell>
          <cell r="J781">
            <v>0</v>
          </cell>
          <cell r="K781">
            <v>0</v>
          </cell>
        </row>
        <row r="782">
          <cell r="A782">
            <v>14416920</v>
          </cell>
          <cell r="B782" t="str">
            <v>'14416920',</v>
          </cell>
          <cell r="C782" t="str">
            <v>La Choza Cusqueña</v>
          </cell>
          <cell r="D782" t="str">
            <v>PE Dir Sur</v>
          </cell>
          <cell r="E782" t="str">
            <v>PE Ger P3 Tacna</v>
          </cell>
          <cell r="F782">
            <v>0</v>
          </cell>
          <cell r="G782">
            <v>1</v>
          </cell>
          <cell r="H782">
            <v>1</v>
          </cell>
          <cell r="I782">
            <v>0</v>
          </cell>
          <cell r="J782">
            <v>0</v>
          </cell>
          <cell r="K782">
            <v>0</v>
          </cell>
        </row>
        <row r="783">
          <cell r="A783">
            <v>13408138</v>
          </cell>
          <cell r="B783" t="str">
            <v>'13408138',</v>
          </cell>
          <cell r="C783" t="str">
            <v>La Marina</v>
          </cell>
          <cell r="D783" t="str">
            <v>PE Dir Lima</v>
          </cell>
          <cell r="E783" t="str">
            <v>PE Ger P1 Lima Oeste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</row>
        <row r="784">
          <cell r="A784">
            <v>12264660</v>
          </cell>
          <cell r="B784" t="str">
            <v>'12264660',</v>
          </cell>
          <cell r="C784" t="str">
            <v>Rincón criollo</v>
          </cell>
          <cell r="D784" t="str">
            <v>PE Dir Lima</v>
          </cell>
          <cell r="E784" t="str">
            <v>PE Ger P1 Lima Este</v>
          </cell>
          <cell r="F784">
            <v>0</v>
          </cell>
          <cell r="G784">
            <v>1</v>
          </cell>
          <cell r="H784">
            <v>1</v>
          </cell>
          <cell r="I784">
            <v>0</v>
          </cell>
          <cell r="J784">
            <v>0</v>
          </cell>
          <cell r="K784">
            <v>0</v>
          </cell>
        </row>
        <row r="785">
          <cell r="A785">
            <v>12162356</v>
          </cell>
          <cell r="B785" t="str">
            <v>'12162356',</v>
          </cell>
          <cell r="C785" t="str">
            <v>No canjeo aún</v>
          </cell>
          <cell r="D785" t="str">
            <v>PE Dir Lima</v>
          </cell>
          <cell r="E785" t="str">
            <v>PE Ger P1 Lima Oeste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</row>
        <row r="786">
          <cell r="A786">
            <v>10230504</v>
          </cell>
          <cell r="B786" t="str">
            <v>'10230504',</v>
          </cell>
          <cell r="C786" t="str">
            <v>Rincón Cajamarquino</v>
          </cell>
          <cell r="D786" t="str">
            <v>PE Dir Lima</v>
          </cell>
          <cell r="E786" t="str">
            <v>PE Ger P1 Lima Oeste</v>
          </cell>
          <cell r="F786">
            <v>0</v>
          </cell>
          <cell r="G786">
            <v>1</v>
          </cell>
          <cell r="H786">
            <v>1</v>
          </cell>
          <cell r="I786">
            <v>0</v>
          </cell>
          <cell r="J786">
            <v>1</v>
          </cell>
          <cell r="K786">
            <v>1</v>
          </cell>
        </row>
        <row r="787">
          <cell r="A787">
            <v>12925773</v>
          </cell>
          <cell r="B787" t="str">
            <v>'12925773',</v>
          </cell>
          <cell r="C787" t="str">
            <v>El Bellaco</v>
          </cell>
          <cell r="D787" t="str">
            <v>PE Dir Lima</v>
          </cell>
          <cell r="E787" t="str">
            <v>PE Ger P1 Lima Norte</v>
          </cell>
          <cell r="F787">
            <v>0</v>
          </cell>
          <cell r="G787">
            <v>4</v>
          </cell>
          <cell r="H787">
            <v>4</v>
          </cell>
          <cell r="I787">
            <v>0</v>
          </cell>
          <cell r="J787">
            <v>1</v>
          </cell>
          <cell r="K787">
            <v>1</v>
          </cell>
        </row>
        <row r="788">
          <cell r="A788">
            <v>13969797</v>
          </cell>
          <cell r="B788" t="str">
            <v>'13969797',</v>
          </cell>
          <cell r="C788" t="str">
            <v>No canjeo aún</v>
          </cell>
          <cell r="D788" t="str">
            <v>PE Dir Norte</v>
          </cell>
          <cell r="E788" t="str">
            <v>PE Ger P2 Ancash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>
            <v>14243377</v>
          </cell>
          <cell r="B789" t="str">
            <v>'14243377',</v>
          </cell>
          <cell r="C789" t="str">
            <v>No canjeo aún</v>
          </cell>
          <cell r="D789" t="str">
            <v>PE Dir Norte</v>
          </cell>
          <cell r="E789" t="str">
            <v>PE Ger P2 Chiclay Ca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</row>
        <row r="790">
          <cell r="A790">
            <v>14417513</v>
          </cell>
          <cell r="B790" t="str">
            <v>'14417513',</v>
          </cell>
          <cell r="C790" t="str">
            <v>EL CAJACHO</v>
          </cell>
          <cell r="D790" t="str">
            <v>PE Dir Lima</v>
          </cell>
          <cell r="E790" t="str">
            <v>PE Ger P1 Lima Norte</v>
          </cell>
          <cell r="F790">
            <v>0</v>
          </cell>
          <cell r="G790">
            <v>0</v>
          </cell>
          <cell r="H790">
            <v>0</v>
          </cell>
          <cell r="I790">
            <v>1</v>
          </cell>
          <cell r="J790">
            <v>1</v>
          </cell>
          <cell r="K790">
            <v>2</v>
          </cell>
        </row>
        <row r="791">
          <cell r="A791">
            <v>14339305</v>
          </cell>
          <cell r="B791" t="str">
            <v>'14339305',</v>
          </cell>
          <cell r="C791" t="str">
            <v>Paredes Pollos y Parrillas</v>
          </cell>
          <cell r="D791" t="str">
            <v>PE Dir Lima</v>
          </cell>
          <cell r="E791" t="str">
            <v>PE Ger P1 Lima Norte</v>
          </cell>
          <cell r="F791">
            <v>0</v>
          </cell>
          <cell r="G791">
            <v>0</v>
          </cell>
          <cell r="H791">
            <v>0</v>
          </cell>
          <cell r="I791">
            <v>2</v>
          </cell>
          <cell r="J791">
            <v>1</v>
          </cell>
          <cell r="K791">
            <v>3</v>
          </cell>
        </row>
        <row r="792">
          <cell r="A792">
            <v>12772306</v>
          </cell>
          <cell r="B792" t="str">
            <v>'12772306',</v>
          </cell>
          <cell r="C792" t="str">
            <v>No canjeo aún</v>
          </cell>
          <cell r="D792" t="str">
            <v>PE Dir Lima</v>
          </cell>
          <cell r="E792" t="str">
            <v>PE Ger P1 Lima Norte</v>
          </cell>
          <cell r="F792">
            <v>0</v>
          </cell>
          <cell r="G792">
            <v>0</v>
          </cell>
          <cell r="H792">
            <v>0</v>
          </cell>
          <cell r="I792">
            <v>1</v>
          </cell>
          <cell r="J792">
            <v>1</v>
          </cell>
          <cell r="K792">
            <v>2</v>
          </cell>
        </row>
        <row r="793">
          <cell r="A793">
            <v>14061485</v>
          </cell>
          <cell r="B793" t="str">
            <v>'14061485',</v>
          </cell>
          <cell r="C793" t="str">
            <v>Apart lihi</v>
          </cell>
          <cell r="D793" t="str">
            <v>PE Dir Centro Orient</v>
          </cell>
          <cell r="E793" t="str">
            <v>PE Ger P4 Iquitos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</row>
        <row r="794">
          <cell r="A794">
            <v>14349116</v>
          </cell>
          <cell r="B794" t="str">
            <v>'14349116',</v>
          </cell>
          <cell r="C794" t="str">
            <v>Cevicheria Barrio Marino</v>
          </cell>
          <cell r="D794" t="str">
            <v>PE Dir Centro Orient</v>
          </cell>
          <cell r="E794" t="str">
            <v>PE Ger P4 Iquitos</v>
          </cell>
          <cell r="F794">
            <v>0</v>
          </cell>
          <cell r="G794">
            <v>1</v>
          </cell>
          <cell r="H794">
            <v>1</v>
          </cell>
          <cell r="I794">
            <v>0</v>
          </cell>
          <cell r="J794">
            <v>0</v>
          </cell>
          <cell r="K794">
            <v>0</v>
          </cell>
        </row>
        <row r="795">
          <cell r="A795">
            <v>14386710</v>
          </cell>
          <cell r="B795" t="str">
            <v>'14386710',</v>
          </cell>
          <cell r="C795" t="str">
            <v>Consorcio Padres Agustinos</v>
          </cell>
          <cell r="D795" t="str">
            <v>PE Dir Centro Orient</v>
          </cell>
          <cell r="E795" t="str">
            <v>PE Ger P4 Iquitos</v>
          </cell>
          <cell r="F795">
            <v>0</v>
          </cell>
          <cell r="G795">
            <v>9</v>
          </cell>
          <cell r="H795">
            <v>9</v>
          </cell>
          <cell r="I795">
            <v>0</v>
          </cell>
          <cell r="J795">
            <v>0</v>
          </cell>
          <cell r="K795">
            <v>0</v>
          </cell>
        </row>
        <row r="796">
          <cell r="A796">
            <v>12491606</v>
          </cell>
          <cell r="B796" t="str">
            <v>'12491606',</v>
          </cell>
          <cell r="C796" t="str">
            <v>En su Punto, Monumental</v>
          </cell>
          <cell r="D796" t="str">
            <v>PE Dir Lima</v>
          </cell>
          <cell r="E796" t="str">
            <v>PE Ger P1 Lima Oeste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1</v>
          </cell>
          <cell r="K796">
            <v>1</v>
          </cell>
        </row>
        <row r="797">
          <cell r="A797">
            <v>13199574</v>
          </cell>
          <cell r="B797" t="str">
            <v>'13199574',</v>
          </cell>
          <cell r="C797" t="str">
            <v>Rincon Piurano</v>
          </cell>
          <cell r="D797" t="str">
            <v>PE Dir Lima</v>
          </cell>
          <cell r="E797" t="str">
            <v>PE Ger P1 Lima Oeste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</row>
        <row r="798">
          <cell r="A798">
            <v>13995835</v>
          </cell>
          <cell r="B798" t="str">
            <v>'13995835',</v>
          </cell>
          <cell r="C798" t="str">
            <v>No canjeo aún</v>
          </cell>
          <cell r="D798" t="str">
            <v>PE Dir Lima</v>
          </cell>
          <cell r="E798" t="str">
            <v>PE Ger P1 Lima Norte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1</v>
          </cell>
          <cell r="K798">
            <v>1</v>
          </cell>
        </row>
        <row r="799">
          <cell r="A799">
            <v>13999936</v>
          </cell>
          <cell r="B799" t="str">
            <v>'13999936',</v>
          </cell>
          <cell r="C799" t="str">
            <v>Lomazo Peruano</v>
          </cell>
          <cell r="D799" t="str">
            <v>PE Dir Lima</v>
          </cell>
          <cell r="E799" t="str">
            <v>PE Ger P1 Lima Centr</v>
          </cell>
          <cell r="F799">
            <v>0</v>
          </cell>
          <cell r="G799">
            <v>2</v>
          </cell>
          <cell r="H799">
            <v>2</v>
          </cell>
          <cell r="I799">
            <v>0</v>
          </cell>
          <cell r="J799">
            <v>0</v>
          </cell>
          <cell r="K799">
            <v>0</v>
          </cell>
        </row>
        <row r="800">
          <cell r="A800">
            <v>14362213</v>
          </cell>
          <cell r="B800" t="str">
            <v>'14362213',</v>
          </cell>
          <cell r="C800" t="str">
            <v>El Churrasquito</v>
          </cell>
          <cell r="D800" t="str">
            <v>PE Dir Lima</v>
          </cell>
          <cell r="E800" t="str">
            <v>PE Ger P1 Lima Centr</v>
          </cell>
          <cell r="F800">
            <v>0</v>
          </cell>
          <cell r="G800">
            <v>10</v>
          </cell>
          <cell r="H800">
            <v>10</v>
          </cell>
          <cell r="I800">
            <v>0</v>
          </cell>
          <cell r="J800">
            <v>0</v>
          </cell>
          <cell r="K800">
            <v>0</v>
          </cell>
        </row>
        <row r="801">
          <cell r="A801">
            <v>11475114</v>
          </cell>
          <cell r="B801" t="str">
            <v>'11475114',</v>
          </cell>
          <cell r="C801" t="str">
            <v>No canjeo aún</v>
          </cell>
          <cell r="D801" t="str">
            <v>PE Dir Lima</v>
          </cell>
          <cell r="E801" t="str">
            <v>PE Ger P1 Lima Este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</row>
        <row r="802">
          <cell r="A802">
            <v>13201343</v>
          </cell>
          <cell r="B802" t="str">
            <v>'13201343',</v>
          </cell>
          <cell r="C802" t="str">
            <v>No canjeo aún</v>
          </cell>
          <cell r="D802" t="str">
            <v>PE Dir Norte</v>
          </cell>
          <cell r="E802" t="str">
            <v>PE Ger P2 Trujillo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</row>
        <row r="803">
          <cell r="A803">
            <v>13508970</v>
          </cell>
          <cell r="B803" t="str">
            <v>'13508970',</v>
          </cell>
          <cell r="C803" t="str">
            <v>Marisquería grill Shoshy</v>
          </cell>
          <cell r="D803" t="str">
            <v>PE Dir Norte</v>
          </cell>
          <cell r="E803" t="str">
            <v>PE Ger P2 Trujillo</v>
          </cell>
          <cell r="F803">
            <v>0</v>
          </cell>
          <cell r="G803">
            <v>6</v>
          </cell>
          <cell r="H803">
            <v>6</v>
          </cell>
          <cell r="I803">
            <v>0</v>
          </cell>
          <cell r="J803">
            <v>0</v>
          </cell>
          <cell r="K803">
            <v>0</v>
          </cell>
        </row>
        <row r="804">
          <cell r="A804">
            <v>13747816</v>
          </cell>
          <cell r="B804" t="str">
            <v>'13747816',</v>
          </cell>
          <cell r="C804" t="str">
            <v>No canjeo aún</v>
          </cell>
          <cell r="D804" t="str">
            <v>PE Dir Norte</v>
          </cell>
          <cell r="E804" t="str">
            <v>PE Ger P2 Piura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4</v>
          </cell>
          <cell r="K804">
            <v>4</v>
          </cell>
        </row>
        <row r="805">
          <cell r="A805">
            <v>14412607</v>
          </cell>
          <cell r="B805" t="str">
            <v>'14412607',</v>
          </cell>
          <cell r="C805" t="str">
            <v>Catayork hotel restaurant &amp; bar</v>
          </cell>
          <cell r="D805" t="str">
            <v>PE Dir Norte</v>
          </cell>
          <cell r="E805" t="str">
            <v>PE Ger P2 Piura</v>
          </cell>
          <cell r="F805">
            <v>0</v>
          </cell>
          <cell r="G805">
            <v>11</v>
          </cell>
          <cell r="H805">
            <v>11</v>
          </cell>
          <cell r="I805">
            <v>0</v>
          </cell>
          <cell r="J805">
            <v>0</v>
          </cell>
          <cell r="K805">
            <v>0</v>
          </cell>
        </row>
        <row r="806">
          <cell r="A806">
            <v>13957754</v>
          </cell>
          <cell r="B806" t="str">
            <v>'13957754',</v>
          </cell>
          <cell r="C806" t="str">
            <v>Filomeno</v>
          </cell>
          <cell r="D806" t="str">
            <v>PE Dir Norte</v>
          </cell>
          <cell r="E806" t="str">
            <v>PE Ger P2 Piura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</row>
        <row r="807">
          <cell r="A807">
            <v>14254072</v>
          </cell>
          <cell r="B807" t="str">
            <v>'14254072',</v>
          </cell>
          <cell r="C807" t="str">
            <v>El Nino</v>
          </cell>
          <cell r="D807" t="str">
            <v>PE Dir Sur</v>
          </cell>
          <cell r="E807" t="str">
            <v>PE Ger P3 Ayacucho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</row>
        <row r="808">
          <cell r="A808">
            <v>12158861</v>
          </cell>
          <cell r="B808" t="str">
            <v>'12158861',</v>
          </cell>
          <cell r="C808" t="str">
            <v>Cebicheria RESTOBAR EL PULPO EIRL</v>
          </cell>
          <cell r="D808" t="str">
            <v>PE Dir Centro Orient</v>
          </cell>
          <cell r="E808" t="str">
            <v>PE Ger P4 Pucall Hco</v>
          </cell>
          <cell r="F808">
            <v>0</v>
          </cell>
          <cell r="G808">
            <v>2</v>
          </cell>
          <cell r="H808">
            <v>2</v>
          </cell>
          <cell r="I808">
            <v>0</v>
          </cell>
          <cell r="J808">
            <v>1</v>
          </cell>
          <cell r="K808">
            <v>1</v>
          </cell>
        </row>
        <row r="809">
          <cell r="A809">
            <v>11058984</v>
          </cell>
          <cell r="B809" t="str">
            <v>'11058984',</v>
          </cell>
          <cell r="C809" t="str">
            <v>MERLIN - 13 DE ENERO</v>
          </cell>
          <cell r="D809" t="str">
            <v>PE Dir Lima</v>
          </cell>
          <cell r="E809" t="str">
            <v>PE Ger P1 Lima Centr</v>
          </cell>
          <cell r="F809">
            <v>0</v>
          </cell>
          <cell r="G809">
            <v>1</v>
          </cell>
          <cell r="H809">
            <v>1</v>
          </cell>
          <cell r="I809">
            <v>0</v>
          </cell>
          <cell r="J809">
            <v>1</v>
          </cell>
          <cell r="K809">
            <v>1</v>
          </cell>
        </row>
        <row r="810">
          <cell r="A810">
            <v>11379257</v>
          </cell>
          <cell r="B810" t="str">
            <v>'11379257',</v>
          </cell>
          <cell r="C810" t="str">
            <v>Son y mariscos</v>
          </cell>
          <cell r="D810" t="str">
            <v>PE Dir Lima</v>
          </cell>
          <cell r="E810" t="str">
            <v>PE Ger P1 Lima Norte</v>
          </cell>
          <cell r="F810">
            <v>0</v>
          </cell>
          <cell r="G810">
            <v>1</v>
          </cell>
          <cell r="H810">
            <v>1</v>
          </cell>
          <cell r="I810">
            <v>1</v>
          </cell>
          <cell r="J810">
            <v>1</v>
          </cell>
          <cell r="K810">
            <v>2</v>
          </cell>
        </row>
        <row r="811">
          <cell r="A811">
            <v>14366052</v>
          </cell>
          <cell r="B811" t="str">
            <v>'14366052',</v>
          </cell>
          <cell r="C811" t="str">
            <v>Restaurante campestre betty</v>
          </cell>
          <cell r="D811" t="str">
            <v>PE Dir Lima</v>
          </cell>
          <cell r="E811" t="str">
            <v>PE Ger P1 Lima Este</v>
          </cell>
          <cell r="F811">
            <v>0</v>
          </cell>
          <cell r="G811">
            <v>1</v>
          </cell>
          <cell r="H811">
            <v>1</v>
          </cell>
          <cell r="I811">
            <v>1</v>
          </cell>
          <cell r="J811">
            <v>2</v>
          </cell>
          <cell r="K811">
            <v>3</v>
          </cell>
        </row>
        <row r="812">
          <cell r="A812">
            <v>10133750</v>
          </cell>
          <cell r="B812" t="str">
            <v>'10133750',</v>
          </cell>
          <cell r="C812" t="str">
            <v>No canjeo aún</v>
          </cell>
          <cell r="D812" t="str">
            <v>PE Dir Centro Orient</v>
          </cell>
          <cell r="E812" t="str">
            <v>PE Ger P4 Iquitos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</row>
        <row r="813">
          <cell r="A813">
            <v>10133777</v>
          </cell>
          <cell r="B813" t="str">
            <v>'10133777',</v>
          </cell>
          <cell r="C813" t="str">
            <v>No canjeo aún</v>
          </cell>
          <cell r="D813" t="str">
            <v>PE Dir Centro Orient</v>
          </cell>
          <cell r="E813" t="str">
            <v>PE Ger P4 Iquitos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</row>
        <row r="814">
          <cell r="A814">
            <v>10135358</v>
          </cell>
          <cell r="B814" t="str">
            <v>'10135358',</v>
          </cell>
          <cell r="C814" t="str">
            <v>Recreo turístico Oasis</v>
          </cell>
          <cell r="D814" t="str">
            <v>PE Dir Centro Orient</v>
          </cell>
          <cell r="E814" t="str">
            <v>PE Ger P4 Tarapoto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</row>
        <row r="815">
          <cell r="A815">
            <v>11003240</v>
          </cell>
          <cell r="B815" t="str">
            <v>'11003240',</v>
          </cell>
          <cell r="C815" t="str">
            <v>No canjeo aún</v>
          </cell>
          <cell r="D815" t="str">
            <v>PE Dir Centro Orient</v>
          </cell>
          <cell r="E815" t="str">
            <v>PE Ger P4 Tarapoto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</row>
        <row r="816">
          <cell r="A816">
            <v>12804933</v>
          </cell>
          <cell r="B816" t="str">
            <v>'12804933',</v>
          </cell>
          <cell r="C816" t="str">
            <v>La Balsa Restobar</v>
          </cell>
          <cell r="D816" t="str">
            <v>PE Dir Centro Orient</v>
          </cell>
          <cell r="E816" t="str">
            <v>PE Ger P4 Iquitos</v>
          </cell>
          <cell r="F816">
            <v>0</v>
          </cell>
          <cell r="G816">
            <v>2</v>
          </cell>
          <cell r="H816">
            <v>2</v>
          </cell>
          <cell r="I816">
            <v>0</v>
          </cell>
          <cell r="J816">
            <v>0</v>
          </cell>
          <cell r="K816">
            <v>0</v>
          </cell>
        </row>
        <row r="817">
          <cell r="A817">
            <v>13932435</v>
          </cell>
          <cell r="B817" t="str">
            <v>'13932435',</v>
          </cell>
          <cell r="C817" t="str">
            <v>No canjeo aún</v>
          </cell>
          <cell r="D817" t="str">
            <v>PE Dir Centro Orient</v>
          </cell>
          <cell r="E817" t="str">
            <v>PE Ger P4 Iquitos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</row>
        <row r="818">
          <cell r="A818">
            <v>13994844</v>
          </cell>
          <cell r="B818" t="str">
            <v>'13994844',</v>
          </cell>
          <cell r="C818" t="str">
            <v>Cevicheria El Chanquesito</v>
          </cell>
          <cell r="D818" t="str">
            <v>PE Dir Centro Orient</v>
          </cell>
          <cell r="E818" t="str">
            <v>PE Ger P4 Pucall Hco</v>
          </cell>
          <cell r="F818">
            <v>0</v>
          </cell>
          <cell r="G818">
            <v>3</v>
          </cell>
          <cell r="H818">
            <v>3</v>
          </cell>
          <cell r="I818">
            <v>0</v>
          </cell>
          <cell r="J818">
            <v>0</v>
          </cell>
          <cell r="K818">
            <v>0</v>
          </cell>
        </row>
        <row r="819">
          <cell r="A819">
            <v>14004097</v>
          </cell>
          <cell r="B819" t="str">
            <v>'14004097',</v>
          </cell>
          <cell r="C819" t="str">
            <v>ALUGMO</v>
          </cell>
          <cell r="D819" t="str">
            <v>PE Dir Centro Orient</v>
          </cell>
          <cell r="E819" t="str">
            <v>PE Ger P4 Tarapoto</v>
          </cell>
          <cell r="F819">
            <v>0</v>
          </cell>
          <cell r="G819">
            <v>1</v>
          </cell>
          <cell r="H819">
            <v>1</v>
          </cell>
          <cell r="I819">
            <v>0</v>
          </cell>
          <cell r="J819">
            <v>0</v>
          </cell>
          <cell r="K819">
            <v>0</v>
          </cell>
        </row>
        <row r="820">
          <cell r="A820">
            <v>14288389</v>
          </cell>
          <cell r="B820" t="str">
            <v>'14288389',</v>
          </cell>
          <cell r="C820" t="str">
            <v>Yacumunay</v>
          </cell>
          <cell r="D820" t="str">
            <v>PE Dir Centro Orient</v>
          </cell>
          <cell r="E820" t="str">
            <v>PE Ger P4 Tarapoto</v>
          </cell>
          <cell r="F820">
            <v>0</v>
          </cell>
          <cell r="G820">
            <v>1</v>
          </cell>
          <cell r="H820">
            <v>1</v>
          </cell>
          <cell r="I820">
            <v>0</v>
          </cell>
          <cell r="J820">
            <v>0</v>
          </cell>
          <cell r="K820">
            <v>0</v>
          </cell>
        </row>
        <row r="821">
          <cell r="A821">
            <v>14291775</v>
          </cell>
          <cell r="B821" t="str">
            <v>'14291775',</v>
          </cell>
          <cell r="C821" t="str">
            <v>No canjeo aún</v>
          </cell>
          <cell r="D821" t="str">
            <v>PE Dir Centro Orient</v>
          </cell>
          <cell r="E821" t="str">
            <v>PE Ger P4 Iquitos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</row>
        <row r="822">
          <cell r="A822">
            <v>11622577</v>
          </cell>
          <cell r="B822" t="str">
            <v>'11622577',</v>
          </cell>
          <cell r="C822" t="str">
            <v>No canjeo aún</v>
          </cell>
          <cell r="D822" t="str">
            <v>PE Dir Centro Orient</v>
          </cell>
          <cell r="E822" t="str">
            <v>PE Ger P4 Tarapoto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</row>
        <row r="823">
          <cell r="A823">
            <v>12171491</v>
          </cell>
          <cell r="B823" t="str">
            <v>'12171491',</v>
          </cell>
          <cell r="C823" t="str">
            <v>El sheretero</v>
          </cell>
          <cell r="D823" t="str">
            <v>PE Dir Centro Orient</v>
          </cell>
          <cell r="E823" t="str">
            <v>PE Ger P4 Tarapoto</v>
          </cell>
          <cell r="F823">
            <v>0</v>
          </cell>
          <cell r="G823">
            <v>1</v>
          </cell>
          <cell r="H823">
            <v>1</v>
          </cell>
          <cell r="I823">
            <v>0</v>
          </cell>
          <cell r="J823">
            <v>0</v>
          </cell>
          <cell r="K823">
            <v>0</v>
          </cell>
        </row>
        <row r="824">
          <cell r="A824">
            <v>12806952</v>
          </cell>
          <cell r="B824" t="str">
            <v>'12806952',</v>
          </cell>
          <cell r="C824" t="str">
            <v>No canjeo aún</v>
          </cell>
          <cell r="D824" t="str">
            <v>PE Dir Centro Orient</v>
          </cell>
          <cell r="E824" t="str">
            <v>PE Ger P4 Tarapoto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</row>
        <row r="825">
          <cell r="A825">
            <v>13517453</v>
          </cell>
          <cell r="B825" t="str">
            <v>'13517453',</v>
          </cell>
          <cell r="C825" t="str">
            <v>Recreo Falcon</v>
          </cell>
          <cell r="D825" t="str">
            <v>PE Dir Centro Orient</v>
          </cell>
          <cell r="E825" t="str">
            <v>PE Ger P4 Pucall Hco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</row>
        <row r="826">
          <cell r="A826">
            <v>14188498</v>
          </cell>
          <cell r="B826" t="str">
            <v>'14188498',</v>
          </cell>
          <cell r="C826" t="str">
            <v>Vivis Tarapoto</v>
          </cell>
          <cell r="D826" t="str">
            <v>PE Dir Centro Orient</v>
          </cell>
          <cell r="E826" t="str">
            <v>PE Ger P4 Tarapoto</v>
          </cell>
          <cell r="F826">
            <v>0</v>
          </cell>
          <cell r="G826">
            <v>1</v>
          </cell>
          <cell r="H826">
            <v>1</v>
          </cell>
          <cell r="I826">
            <v>0</v>
          </cell>
          <cell r="J826">
            <v>0</v>
          </cell>
          <cell r="K826">
            <v>0</v>
          </cell>
        </row>
        <row r="827">
          <cell r="A827">
            <v>14360454</v>
          </cell>
          <cell r="B827" t="str">
            <v>'14360454',</v>
          </cell>
          <cell r="C827" t="str">
            <v>No canjeo aún</v>
          </cell>
          <cell r="D827" t="str">
            <v>PE Dir Centro Orient</v>
          </cell>
          <cell r="E827" t="str">
            <v>PE Ger P4 Tarapoto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</row>
        <row r="828">
          <cell r="A828">
            <v>14222036</v>
          </cell>
          <cell r="B828" t="str">
            <v>'14222036',</v>
          </cell>
          <cell r="C828" t="str">
            <v>Shapaja risort</v>
          </cell>
          <cell r="D828" t="str">
            <v>PE Dir Centro Orient</v>
          </cell>
          <cell r="E828" t="str">
            <v>PE Ger P4 Pucall Hco</v>
          </cell>
          <cell r="F828">
            <v>0</v>
          </cell>
          <cell r="G828">
            <v>4</v>
          </cell>
          <cell r="H828">
            <v>4</v>
          </cell>
          <cell r="I828">
            <v>0</v>
          </cell>
          <cell r="J828">
            <v>0</v>
          </cell>
          <cell r="K828">
            <v>0</v>
          </cell>
        </row>
        <row r="829">
          <cell r="A829">
            <v>14293947</v>
          </cell>
          <cell r="B829" t="str">
            <v>'14293947',</v>
          </cell>
          <cell r="C829" t="str">
            <v>Cevicheria Panchito house</v>
          </cell>
          <cell r="D829" t="str">
            <v>PE Dir Centro Orient</v>
          </cell>
          <cell r="E829" t="str">
            <v>PE Ger P4 Tarapoto</v>
          </cell>
          <cell r="F829">
            <v>0</v>
          </cell>
          <cell r="G829">
            <v>3</v>
          </cell>
          <cell r="H829">
            <v>3</v>
          </cell>
          <cell r="I829">
            <v>0</v>
          </cell>
          <cell r="J829">
            <v>0</v>
          </cell>
          <cell r="K829">
            <v>0</v>
          </cell>
        </row>
        <row r="830">
          <cell r="A830">
            <v>12221043</v>
          </cell>
          <cell r="B830" t="str">
            <v>'12221043',</v>
          </cell>
          <cell r="C830" t="str">
            <v>Sazon y limón</v>
          </cell>
          <cell r="D830" t="str">
            <v>PE Dir Centro Orient</v>
          </cell>
          <cell r="E830" t="str">
            <v>PE Ger P4 Tarapoto</v>
          </cell>
          <cell r="F830">
            <v>0</v>
          </cell>
          <cell r="G830">
            <v>6</v>
          </cell>
          <cell r="H830">
            <v>6</v>
          </cell>
          <cell r="I830">
            <v>0</v>
          </cell>
          <cell r="J830">
            <v>0</v>
          </cell>
          <cell r="K830">
            <v>0</v>
          </cell>
        </row>
        <row r="831">
          <cell r="A831">
            <v>11741687</v>
          </cell>
          <cell r="B831" t="str">
            <v>'11741687',</v>
          </cell>
          <cell r="C831" t="str">
            <v>CANOAS</v>
          </cell>
          <cell r="D831" t="str">
            <v>PE Dir Centro Orient</v>
          </cell>
          <cell r="E831" t="str">
            <v>PE Ger P4 Tarapoto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>
            <v>14423705</v>
          </cell>
          <cell r="B832" t="str">
            <v>'14423705',</v>
          </cell>
          <cell r="C832" t="str">
            <v>El Mijano</v>
          </cell>
          <cell r="D832" t="str">
            <v>PE Dir Centro Orient</v>
          </cell>
          <cell r="E832" t="str">
            <v>PE Ger P4 Iquitos</v>
          </cell>
          <cell r="F832">
            <v>0</v>
          </cell>
          <cell r="G832">
            <v>6</v>
          </cell>
          <cell r="H832">
            <v>6</v>
          </cell>
          <cell r="I832">
            <v>0</v>
          </cell>
          <cell r="J832">
            <v>0</v>
          </cell>
          <cell r="K832">
            <v>0</v>
          </cell>
        </row>
        <row r="833">
          <cell r="A833">
            <v>14414565</v>
          </cell>
          <cell r="B833" t="str">
            <v>'14414565',</v>
          </cell>
          <cell r="C833" t="str">
            <v>Cevicheria El Tiburón</v>
          </cell>
          <cell r="D833" t="str">
            <v>PE Dir Centro Orient</v>
          </cell>
          <cell r="E833" t="str">
            <v>PE Ger P4 Tarapoto</v>
          </cell>
          <cell r="F833">
            <v>0</v>
          </cell>
          <cell r="G833">
            <v>1</v>
          </cell>
          <cell r="H833">
            <v>1</v>
          </cell>
          <cell r="I833">
            <v>0</v>
          </cell>
          <cell r="J833">
            <v>0</v>
          </cell>
          <cell r="K833">
            <v>0</v>
          </cell>
        </row>
        <row r="834">
          <cell r="A834">
            <v>14269947</v>
          </cell>
          <cell r="B834" t="str">
            <v>'14269947',</v>
          </cell>
          <cell r="C834" t="str">
            <v>No canjeo aún</v>
          </cell>
          <cell r="D834" t="str">
            <v>PE Dir Centro Orient</v>
          </cell>
          <cell r="E834" t="str">
            <v>PE Ger P4 Iquitos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</row>
        <row r="835">
          <cell r="A835">
            <v>14016196</v>
          </cell>
          <cell r="B835" t="str">
            <v>'14016196',</v>
          </cell>
          <cell r="C835" t="str">
            <v>No canjeo aún</v>
          </cell>
          <cell r="D835" t="str">
            <v>PE Dir Centro Orient</v>
          </cell>
          <cell r="E835" t="str">
            <v>PE Ger P4 Iquitos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</row>
        <row r="836">
          <cell r="A836">
            <v>13490091</v>
          </cell>
          <cell r="B836" t="str">
            <v>'13490091',</v>
          </cell>
          <cell r="C836" t="str">
            <v>No canjeo aún</v>
          </cell>
          <cell r="D836" t="str">
            <v>PE Dir Centro Orient</v>
          </cell>
          <cell r="E836" t="str">
            <v>PE Ger P4 Huancay Ch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</row>
        <row r="837">
          <cell r="A837">
            <v>13318155</v>
          </cell>
          <cell r="B837" t="str">
            <v>'13318155',</v>
          </cell>
          <cell r="C837" t="str">
            <v>No canjeo aún</v>
          </cell>
          <cell r="D837" t="str">
            <v>PE Dir Centro Orient</v>
          </cell>
          <cell r="E837" t="str">
            <v>PE Ger P4 Iquitos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</row>
        <row r="838">
          <cell r="A838">
            <v>13205866</v>
          </cell>
          <cell r="B838" t="str">
            <v>'13205866',</v>
          </cell>
          <cell r="C838" t="str">
            <v>Cevicheria MERO MAR</v>
          </cell>
          <cell r="D838" t="str">
            <v>PE Dir Centro Orient</v>
          </cell>
          <cell r="E838" t="str">
            <v>PE Ger P4 Huancay Ch</v>
          </cell>
          <cell r="F838">
            <v>0</v>
          </cell>
          <cell r="G838">
            <v>2</v>
          </cell>
          <cell r="H838">
            <v>2</v>
          </cell>
          <cell r="I838">
            <v>0</v>
          </cell>
          <cell r="J838">
            <v>0</v>
          </cell>
          <cell r="K838">
            <v>0</v>
          </cell>
        </row>
        <row r="839">
          <cell r="A839">
            <v>13033817</v>
          </cell>
          <cell r="B839" t="str">
            <v>'13033817',</v>
          </cell>
          <cell r="C839" t="str">
            <v>Hotel Marcoantonio</v>
          </cell>
          <cell r="D839" t="str">
            <v>PE Dir Centro Orient</v>
          </cell>
          <cell r="E839" t="str">
            <v>PE Ger P4 Tarapoto</v>
          </cell>
          <cell r="F839">
            <v>0</v>
          </cell>
          <cell r="G839">
            <v>5</v>
          </cell>
          <cell r="H839">
            <v>5</v>
          </cell>
          <cell r="I839">
            <v>0</v>
          </cell>
          <cell r="J839">
            <v>0</v>
          </cell>
          <cell r="K839">
            <v>0</v>
          </cell>
        </row>
        <row r="840">
          <cell r="A840">
            <v>12785434</v>
          </cell>
          <cell r="B840" t="str">
            <v>'12785434',</v>
          </cell>
          <cell r="C840" t="str">
            <v>Milán restaurante</v>
          </cell>
          <cell r="D840" t="str">
            <v>PE Dir Centro Orient</v>
          </cell>
          <cell r="E840" t="str">
            <v>PE Ger P4 Tarapoto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</row>
        <row r="841">
          <cell r="A841">
            <v>12622539</v>
          </cell>
          <cell r="B841" t="str">
            <v>'12622539',</v>
          </cell>
          <cell r="C841" t="str">
            <v>No canjeo aún</v>
          </cell>
          <cell r="D841" t="str">
            <v>PE Dir Centro Orient</v>
          </cell>
          <cell r="E841" t="str">
            <v>PE Ger P4 Pucall Hco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</row>
        <row r="842">
          <cell r="A842">
            <v>11154187</v>
          </cell>
          <cell r="B842" t="str">
            <v>'11154187',</v>
          </cell>
          <cell r="C842" t="str">
            <v>Frutos del mar</v>
          </cell>
          <cell r="D842" t="str">
            <v>PE Dir Centro Orient</v>
          </cell>
          <cell r="E842" t="str">
            <v>PE Ger P4 Tarapoto</v>
          </cell>
          <cell r="F842">
            <v>0</v>
          </cell>
          <cell r="G842">
            <v>6</v>
          </cell>
          <cell r="H842">
            <v>6</v>
          </cell>
          <cell r="I842">
            <v>0</v>
          </cell>
          <cell r="J842">
            <v>0</v>
          </cell>
          <cell r="K842">
            <v>0</v>
          </cell>
        </row>
        <row r="843">
          <cell r="A843">
            <v>11120767</v>
          </cell>
          <cell r="B843" t="str">
            <v>'11120767',</v>
          </cell>
          <cell r="C843" t="str">
            <v>Perlawusi</v>
          </cell>
          <cell r="D843" t="str">
            <v>PE Dir Centro Orient</v>
          </cell>
          <cell r="E843" t="str">
            <v>PE Ger P4 Tarapoto</v>
          </cell>
          <cell r="F843">
            <v>0</v>
          </cell>
          <cell r="G843">
            <v>2</v>
          </cell>
          <cell r="H843">
            <v>2</v>
          </cell>
          <cell r="I843">
            <v>0</v>
          </cell>
          <cell r="J843">
            <v>0</v>
          </cell>
          <cell r="K843">
            <v>0</v>
          </cell>
        </row>
        <row r="844">
          <cell r="A844">
            <v>10196079</v>
          </cell>
          <cell r="B844" t="str">
            <v>'10196079',</v>
          </cell>
          <cell r="C844" t="str">
            <v>Cevichería sabor norteño</v>
          </cell>
          <cell r="D844" t="str">
            <v>PE Dir Lima</v>
          </cell>
          <cell r="E844" t="str">
            <v>PE Ger P1 Lima Norte</v>
          </cell>
          <cell r="F844">
            <v>0</v>
          </cell>
          <cell r="G844">
            <v>1</v>
          </cell>
          <cell r="H844">
            <v>1</v>
          </cell>
          <cell r="I844">
            <v>0</v>
          </cell>
          <cell r="J844">
            <v>0</v>
          </cell>
          <cell r="K844">
            <v>0</v>
          </cell>
        </row>
        <row r="845">
          <cell r="A845">
            <v>14044002</v>
          </cell>
          <cell r="B845" t="str">
            <v>'14044002',</v>
          </cell>
          <cell r="C845" t="str">
            <v>El huequito</v>
          </cell>
          <cell r="D845" t="str">
            <v>PE Dir Lima</v>
          </cell>
          <cell r="E845" t="str">
            <v>PE Ger P1 Lima Sur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</row>
        <row r="846">
          <cell r="A846">
            <v>10261007</v>
          </cell>
          <cell r="B846" t="str">
            <v>'10261007',</v>
          </cell>
          <cell r="C846" t="str">
            <v>Restaurant Peña Turist Pocho</v>
          </cell>
          <cell r="D846" t="str">
            <v>PE Dir Lima</v>
          </cell>
          <cell r="E846" t="str">
            <v>PE Ger P1 Lima Sur</v>
          </cell>
          <cell r="F846">
            <v>0</v>
          </cell>
          <cell r="G846">
            <v>5</v>
          </cell>
          <cell r="H846">
            <v>5</v>
          </cell>
          <cell r="I846">
            <v>0</v>
          </cell>
          <cell r="J846">
            <v>0</v>
          </cell>
          <cell r="K846">
            <v>0</v>
          </cell>
        </row>
        <row r="847">
          <cell r="A847">
            <v>14463220</v>
          </cell>
          <cell r="B847" t="str">
            <v>'14463220',</v>
          </cell>
          <cell r="C847" t="str">
            <v>No canjeo aún</v>
          </cell>
          <cell r="D847" t="str">
            <v>PE Dir Lima</v>
          </cell>
          <cell r="E847" t="str">
            <v>PE Ger P1 Lima Norte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</row>
        <row r="848">
          <cell r="A848">
            <v>14429346</v>
          </cell>
          <cell r="B848" t="str">
            <v>'14429346',</v>
          </cell>
          <cell r="C848" t="str">
            <v>Sconcha</v>
          </cell>
          <cell r="D848" t="str">
            <v>PE Dir Lima</v>
          </cell>
          <cell r="E848" t="str">
            <v>PE Ger P1 Lima Oeste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</row>
        <row r="849">
          <cell r="A849">
            <v>13755423</v>
          </cell>
          <cell r="B849" t="str">
            <v>'13755423',</v>
          </cell>
          <cell r="C849" t="str">
            <v>Madero</v>
          </cell>
          <cell r="D849" t="str">
            <v>PE Dir Lima</v>
          </cell>
          <cell r="E849" t="str">
            <v>PE Ger P1 Norte Chi</v>
          </cell>
          <cell r="F849">
            <v>0</v>
          </cell>
          <cell r="G849">
            <v>2</v>
          </cell>
          <cell r="H849">
            <v>2</v>
          </cell>
          <cell r="I849">
            <v>0</v>
          </cell>
          <cell r="J849">
            <v>1</v>
          </cell>
          <cell r="K849">
            <v>1</v>
          </cell>
        </row>
        <row r="850">
          <cell r="A850">
            <v>12109201</v>
          </cell>
          <cell r="B850" t="str">
            <v>'12109201',</v>
          </cell>
          <cell r="C850" t="str">
            <v>No canjeo aún</v>
          </cell>
          <cell r="D850" t="str">
            <v>PE Dir Lima</v>
          </cell>
          <cell r="E850" t="str">
            <v>PE Ger P1 Norte Chi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</row>
        <row r="851">
          <cell r="A851">
            <v>12468315</v>
          </cell>
          <cell r="B851" t="str">
            <v>'12468315',</v>
          </cell>
          <cell r="C851" t="str">
            <v>Costa Inka</v>
          </cell>
          <cell r="D851" t="str">
            <v>PE Dir Lima</v>
          </cell>
          <cell r="E851" t="str">
            <v>PE Ger P1 Lima Norte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</row>
        <row r="852">
          <cell r="A852">
            <v>13498685</v>
          </cell>
          <cell r="B852" t="str">
            <v>'13498685',</v>
          </cell>
          <cell r="C852" t="str">
            <v>CHOZA NAUTICA PUEBLO LIBRE</v>
          </cell>
          <cell r="D852" t="str">
            <v>PE Dir Lima</v>
          </cell>
          <cell r="E852" t="str">
            <v>PE Ger P1 Lima Oeste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</row>
        <row r="853">
          <cell r="A853">
            <v>14380456</v>
          </cell>
          <cell r="B853" t="str">
            <v>'14380456',</v>
          </cell>
          <cell r="C853" t="str">
            <v>Comboy</v>
          </cell>
          <cell r="D853" t="str">
            <v>PE Dir Lima</v>
          </cell>
          <cell r="E853" t="str">
            <v>PE Ger P1 Norte Chi</v>
          </cell>
          <cell r="F853">
            <v>0</v>
          </cell>
          <cell r="G853">
            <v>1</v>
          </cell>
          <cell r="H853">
            <v>1</v>
          </cell>
          <cell r="I853">
            <v>0</v>
          </cell>
          <cell r="J853">
            <v>0</v>
          </cell>
          <cell r="K853">
            <v>0</v>
          </cell>
        </row>
        <row r="854">
          <cell r="A854">
            <v>14312174</v>
          </cell>
          <cell r="B854" t="str">
            <v>'14312174',</v>
          </cell>
          <cell r="C854" t="str">
            <v>FLAMA</v>
          </cell>
          <cell r="D854" t="str">
            <v>PE Dir Lima</v>
          </cell>
          <cell r="E854" t="str">
            <v>PE Ger P1 Norte Chi</v>
          </cell>
          <cell r="F854">
            <v>0</v>
          </cell>
          <cell r="G854">
            <v>2</v>
          </cell>
          <cell r="H854">
            <v>2</v>
          </cell>
          <cell r="I854">
            <v>0</v>
          </cell>
          <cell r="J854">
            <v>0</v>
          </cell>
          <cell r="K854">
            <v>0</v>
          </cell>
        </row>
        <row r="855">
          <cell r="A855">
            <v>14262667</v>
          </cell>
          <cell r="B855" t="str">
            <v>'14262667',</v>
          </cell>
          <cell r="C855" t="str">
            <v>No canjeo aún</v>
          </cell>
          <cell r="D855" t="str">
            <v>PE Dir Lima</v>
          </cell>
          <cell r="E855" t="str">
            <v>PE Ger P1 Lima Norte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</row>
        <row r="856">
          <cell r="A856">
            <v>14280685</v>
          </cell>
          <cell r="B856" t="str">
            <v>'14280685',</v>
          </cell>
          <cell r="C856" t="str">
            <v>Sede Huandoy</v>
          </cell>
          <cell r="D856" t="str">
            <v>PE Dir Lima</v>
          </cell>
          <cell r="E856" t="str">
            <v>PE Ger P1 Lima Oeste</v>
          </cell>
          <cell r="F856">
            <v>0</v>
          </cell>
          <cell r="G856">
            <v>2</v>
          </cell>
          <cell r="H856">
            <v>2</v>
          </cell>
          <cell r="I856">
            <v>0</v>
          </cell>
          <cell r="J856">
            <v>0</v>
          </cell>
          <cell r="K856">
            <v>0</v>
          </cell>
        </row>
        <row r="857">
          <cell r="A857">
            <v>14364126</v>
          </cell>
          <cell r="B857" t="str">
            <v>'14364126',</v>
          </cell>
          <cell r="C857" t="str">
            <v>Restaurante &amp; Bar Zoe</v>
          </cell>
          <cell r="D857" t="str">
            <v>PE Dir Lima</v>
          </cell>
          <cell r="E857" t="str">
            <v>PE Ger P1 Norte Chi</v>
          </cell>
          <cell r="F857">
            <v>0</v>
          </cell>
          <cell r="G857">
            <v>1</v>
          </cell>
          <cell r="H857">
            <v>1</v>
          </cell>
          <cell r="I857">
            <v>0</v>
          </cell>
          <cell r="J857">
            <v>1</v>
          </cell>
          <cell r="K857">
            <v>1</v>
          </cell>
        </row>
        <row r="858">
          <cell r="A858">
            <v>13770380</v>
          </cell>
          <cell r="B858" t="str">
            <v>'13770380',</v>
          </cell>
          <cell r="C858" t="str">
            <v>Casa Palma</v>
          </cell>
          <cell r="D858" t="str">
            <v>PE Dir Lima</v>
          </cell>
          <cell r="E858" t="str">
            <v>PE Ger P1 Lima Sur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</row>
        <row r="859">
          <cell r="A859">
            <v>12245891</v>
          </cell>
          <cell r="B859" t="str">
            <v>'12245891',</v>
          </cell>
          <cell r="C859" t="str">
            <v>Social Club</v>
          </cell>
          <cell r="D859" t="str">
            <v>PE Dir Lima</v>
          </cell>
          <cell r="E859" t="str">
            <v>PE Ger P1 Lima Sur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</row>
        <row r="860">
          <cell r="A860">
            <v>12859235</v>
          </cell>
          <cell r="B860" t="str">
            <v>'12859235',</v>
          </cell>
          <cell r="C860" t="str">
            <v>ESTIMAR</v>
          </cell>
          <cell r="D860" t="str">
            <v>PE Dir Lima</v>
          </cell>
          <cell r="E860" t="str">
            <v>PE Ger P1 Lima Norte</v>
          </cell>
          <cell r="F860">
            <v>0</v>
          </cell>
          <cell r="G860">
            <v>3</v>
          </cell>
          <cell r="H860">
            <v>3</v>
          </cell>
          <cell r="I860">
            <v>0</v>
          </cell>
          <cell r="J860">
            <v>0</v>
          </cell>
          <cell r="K860">
            <v>0</v>
          </cell>
        </row>
        <row r="861">
          <cell r="A861">
            <v>10205904</v>
          </cell>
          <cell r="B861" t="str">
            <v>'10205904',</v>
          </cell>
          <cell r="C861" t="str">
            <v>No canjeo aún</v>
          </cell>
          <cell r="D861" t="str">
            <v>PE Dir Lima</v>
          </cell>
          <cell r="E861" t="str">
            <v>PE Ger P1 Lima Este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</row>
        <row r="862">
          <cell r="A862">
            <v>11127965</v>
          </cell>
          <cell r="B862" t="str">
            <v>'11127965',</v>
          </cell>
          <cell r="C862" t="str">
            <v>La Milonga del SanTito</v>
          </cell>
          <cell r="D862" t="str">
            <v>PE Dir Lima</v>
          </cell>
          <cell r="E862" t="str">
            <v>PE Ger P1 Lima Sur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</row>
        <row r="863">
          <cell r="A863">
            <v>11140051</v>
          </cell>
          <cell r="B863" t="str">
            <v>'11140051',</v>
          </cell>
          <cell r="C863" t="str">
            <v>Oishi</v>
          </cell>
          <cell r="D863" t="str">
            <v>PE Dir Lima</v>
          </cell>
          <cell r="E863" t="str">
            <v>PE Ger P1 Lima Sur</v>
          </cell>
          <cell r="F863">
            <v>0</v>
          </cell>
          <cell r="G863">
            <v>3</v>
          </cell>
          <cell r="H863">
            <v>3</v>
          </cell>
          <cell r="I863">
            <v>0</v>
          </cell>
          <cell r="J863">
            <v>4</v>
          </cell>
          <cell r="K863">
            <v>4</v>
          </cell>
        </row>
        <row r="864">
          <cell r="A864">
            <v>12229541</v>
          </cell>
          <cell r="B864" t="str">
            <v>'12229541',</v>
          </cell>
          <cell r="C864" t="str">
            <v>Cevichería el farolito</v>
          </cell>
          <cell r="D864" t="str">
            <v>PE Dir Lima</v>
          </cell>
          <cell r="E864" t="str">
            <v>PE Ger P1 Lima Sur</v>
          </cell>
          <cell r="F864">
            <v>0</v>
          </cell>
          <cell r="G864">
            <v>1</v>
          </cell>
          <cell r="H864">
            <v>1</v>
          </cell>
          <cell r="I864">
            <v>0</v>
          </cell>
          <cell r="J864">
            <v>0</v>
          </cell>
          <cell r="K864">
            <v>0</v>
          </cell>
        </row>
        <row r="865">
          <cell r="A865">
            <v>13767096</v>
          </cell>
          <cell r="B865" t="str">
            <v>'13767096',</v>
          </cell>
          <cell r="C865" t="str">
            <v>Puesta de Sol</v>
          </cell>
          <cell r="D865" t="str">
            <v>PE Dir Lima</v>
          </cell>
          <cell r="E865" t="str">
            <v>PE Ger P1 Lima Sur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</row>
        <row r="866">
          <cell r="A866">
            <v>13773328</v>
          </cell>
          <cell r="B866" t="str">
            <v>'13773328',</v>
          </cell>
          <cell r="C866" t="str">
            <v>Sunset</v>
          </cell>
          <cell r="D866" t="str">
            <v>PE Dir Lima</v>
          </cell>
          <cell r="E866" t="str">
            <v>PE Ger P1 Lima Sur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>
            <v>14218236</v>
          </cell>
          <cell r="B867" t="str">
            <v>'14218236',</v>
          </cell>
          <cell r="C867" t="str">
            <v>Muchachos</v>
          </cell>
          <cell r="D867" t="str">
            <v>PE Dir Lima</v>
          </cell>
          <cell r="E867" t="str">
            <v>PE Ger P1 Lima Sur</v>
          </cell>
          <cell r="F867">
            <v>0</v>
          </cell>
          <cell r="G867">
            <v>1</v>
          </cell>
          <cell r="H867">
            <v>1</v>
          </cell>
          <cell r="I867">
            <v>0</v>
          </cell>
          <cell r="J867">
            <v>0</v>
          </cell>
          <cell r="K867">
            <v>0</v>
          </cell>
        </row>
        <row r="868">
          <cell r="A868">
            <v>14135905</v>
          </cell>
          <cell r="B868" t="str">
            <v>'14135905',</v>
          </cell>
          <cell r="C868" t="str">
            <v>No canjeo aún</v>
          </cell>
          <cell r="D868" t="str">
            <v>PE Dir Lima</v>
          </cell>
          <cell r="E868" t="str">
            <v>PE Ger P1 Lima Norte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</row>
        <row r="869">
          <cell r="A869">
            <v>14477974</v>
          </cell>
          <cell r="B869" t="str">
            <v>'14477974',</v>
          </cell>
          <cell r="C869" t="str">
            <v>Zumo Fusion</v>
          </cell>
          <cell r="D869" t="str">
            <v>PE Dir Lima</v>
          </cell>
          <cell r="E869" t="str">
            <v>PE Ger P1 Lima Sur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</row>
        <row r="870">
          <cell r="A870">
            <v>11588329</v>
          </cell>
          <cell r="B870" t="str">
            <v>'11588329',</v>
          </cell>
          <cell r="C870" t="str">
            <v>D'Cocos</v>
          </cell>
          <cell r="D870" t="str">
            <v>PE Dir Lima</v>
          </cell>
          <cell r="E870" t="str">
            <v>PE Ger P1 Norte Chi</v>
          </cell>
          <cell r="F870">
            <v>0</v>
          </cell>
          <cell r="G870">
            <v>1</v>
          </cell>
          <cell r="H870">
            <v>1</v>
          </cell>
          <cell r="I870">
            <v>0</v>
          </cell>
          <cell r="J870">
            <v>0</v>
          </cell>
          <cell r="K870">
            <v>0</v>
          </cell>
        </row>
        <row r="871">
          <cell r="A871">
            <v>13245249</v>
          </cell>
          <cell r="B871" t="str">
            <v>'13245249',</v>
          </cell>
          <cell r="C871" t="str">
            <v>Hierro y Bambu</v>
          </cell>
          <cell r="D871" t="str">
            <v>PE Dir Lima</v>
          </cell>
          <cell r="E871" t="str">
            <v>PE Ger P1 Norte Chi</v>
          </cell>
          <cell r="F871">
            <v>0</v>
          </cell>
          <cell r="G871">
            <v>3</v>
          </cell>
          <cell r="H871">
            <v>3</v>
          </cell>
          <cell r="I871">
            <v>0</v>
          </cell>
          <cell r="J871">
            <v>2</v>
          </cell>
          <cell r="K871">
            <v>2</v>
          </cell>
        </row>
        <row r="872">
          <cell r="A872">
            <v>13717580</v>
          </cell>
          <cell r="B872" t="str">
            <v>'13717580',</v>
          </cell>
          <cell r="C872" t="str">
            <v>El buen sabor</v>
          </cell>
          <cell r="D872" t="str">
            <v>PE Dir Lima</v>
          </cell>
          <cell r="E872" t="str">
            <v>PE Ger P1 Lima Este</v>
          </cell>
          <cell r="F872">
            <v>0</v>
          </cell>
          <cell r="G872">
            <v>1</v>
          </cell>
          <cell r="H872">
            <v>1</v>
          </cell>
          <cell r="I872">
            <v>0</v>
          </cell>
          <cell r="J872">
            <v>0</v>
          </cell>
          <cell r="K872">
            <v>0</v>
          </cell>
        </row>
        <row r="873">
          <cell r="A873">
            <v>13849419</v>
          </cell>
          <cell r="B873" t="str">
            <v>'13849419',</v>
          </cell>
          <cell r="C873" t="str">
            <v>El Buen Paladar</v>
          </cell>
          <cell r="D873" t="str">
            <v>PE Dir Lima</v>
          </cell>
          <cell r="E873" t="str">
            <v>PE Ger P1 Lima Oeste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2</v>
          </cell>
          <cell r="K873">
            <v>2</v>
          </cell>
        </row>
        <row r="874">
          <cell r="A874">
            <v>14285060</v>
          </cell>
          <cell r="B874" t="str">
            <v>'14285060',</v>
          </cell>
          <cell r="C874" t="str">
            <v>No canjeo aún</v>
          </cell>
          <cell r="D874" t="str">
            <v>PE Dir Lima</v>
          </cell>
          <cell r="E874" t="str">
            <v>PE Ger P1 Lima Oeste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6</v>
          </cell>
          <cell r="K874">
            <v>6</v>
          </cell>
        </row>
        <row r="875">
          <cell r="A875">
            <v>13965666</v>
          </cell>
          <cell r="B875" t="str">
            <v>'13965666',</v>
          </cell>
          <cell r="C875" t="str">
            <v>Puerto norteño</v>
          </cell>
          <cell r="D875" t="str">
            <v>PE Dir Lima</v>
          </cell>
          <cell r="E875" t="str">
            <v>PE Ger P1 Lima Norte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</row>
        <row r="876">
          <cell r="A876">
            <v>14205807</v>
          </cell>
          <cell r="B876" t="str">
            <v>'14205807',</v>
          </cell>
          <cell r="C876" t="str">
            <v>Rustica Plaza San Martin</v>
          </cell>
          <cell r="D876" t="str">
            <v>PE Dir Lima</v>
          </cell>
          <cell r="E876" t="str">
            <v>PE Ger P1 Lima Centr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>
            <v>14255476</v>
          </cell>
          <cell r="B877" t="str">
            <v>'14255476',</v>
          </cell>
          <cell r="C877" t="str">
            <v>Rustica Centro Civico</v>
          </cell>
          <cell r="D877" t="str">
            <v>PE Dir Lima</v>
          </cell>
          <cell r="E877" t="str">
            <v>PE Ger P1 Lima Centr</v>
          </cell>
          <cell r="F877">
            <v>0</v>
          </cell>
          <cell r="G877">
            <v>1</v>
          </cell>
          <cell r="H877">
            <v>1</v>
          </cell>
          <cell r="I877">
            <v>0</v>
          </cell>
          <cell r="J877">
            <v>0</v>
          </cell>
          <cell r="K877">
            <v>0</v>
          </cell>
        </row>
        <row r="878">
          <cell r="A878">
            <v>14325308</v>
          </cell>
          <cell r="B878" t="str">
            <v>'14325308',</v>
          </cell>
          <cell r="C878" t="str">
            <v>Rustica Mall Aventura San Juan de Lurigancho</v>
          </cell>
          <cell r="D878" t="str">
            <v>PE Dir Lima</v>
          </cell>
          <cell r="E878" t="str">
            <v>PE Ger P1 Lima Este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>
            <v>14254531</v>
          </cell>
          <cell r="B879" t="str">
            <v>'14254531',</v>
          </cell>
          <cell r="C879" t="str">
            <v>Rustica Pro</v>
          </cell>
          <cell r="D879" t="str">
            <v>PE Dir Lima</v>
          </cell>
          <cell r="E879" t="str">
            <v>PE Ger P1 Lima Norte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>
            <v>14322960</v>
          </cell>
          <cell r="B880" t="str">
            <v>'14322960',</v>
          </cell>
          <cell r="C880" t="str">
            <v>Rustica Wilson</v>
          </cell>
          <cell r="D880" t="str">
            <v>PE Dir Lima</v>
          </cell>
          <cell r="E880" t="str">
            <v>PE Ger P1 Lima Centr</v>
          </cell>
          <cell r="F880">
            <v>0</v>
          </cell>
          <cell r="G880">
            <v>1</v>
          </cell>
          <cell r="H880">
            <v>1</v>
          </cell>
          <cell r="I880">
            <v>0</v>
          </cell>
          <cell r="J880">
            <v>0</v>
          </cell>
          <cell r="K880">
            <v>0</v>
          </cell>
        </row>
        <row r="881">
          <cell r="A881">
            <v>13737947</v>
          </cell>
          <cell r="B881" t="str">
            <v>'13737947',</v>
          </cell>
          <cell r="C881" t="str">
            <v>Rustica Izaguirre</v>
          </cell>
          <cell r="D881" t="str">
            <v>PE Dir Lima</v>
          </cell>
          <cell r="E881" t="str">
            <v>PE Ger P1 Lima Norte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</row>
        <row r="882">
          <cell r="A882">
            <v>14417589</v>
          </cell>
          <cell r="B882" t="str">
            <v>'14417589',</v>
          </cell>
          <cell r="C882" t="str">
            <v>BARRIO MANCORA</v>
          </cell>
          <cell r="D882" t="str">
            <v>PE Dir Lima</v>
          </cell>
          <cell r="E882" t="str">
            <v>PE Ger P1 Lima Centr</v>
          </cell>
          <cell r="F882">
            <v>0</v>
          </cell>
          <cell r="G882">
            <v>3</v>
          </cell>
          <cell r="H882">
            <v>3</v>
          </cell>
          <cell r="I882">
            <v>0</v>
          </cell>
          <cell r="J882">
            <v>0</v>
          </cell>
          <cell r="K882">
            <v>0</v>
          </cell>
        </row>
        <row r="883">
          <cell r="A883">
            <v>14300849</v>
          </cell>
          <cell r="B883" t="str">
            <v>'14300849',</v>
          </cell>
          <cell r="C883" t="str">
            <v>EL PULPO PAUL</v>
          </cell>
          <cell r="D883" t="str">
            <v>PE Dir Lima</v>
          </cell>
          <cell r="E883" t="str">
            <v>PE Ger P1 Lima Este</v>
          </cell>
          <cell r="F883">
            <v>0</v>
          </cell>
          <cell r="G883">
            <v>2</v>
          </cell>
          <cell r="H883">
            <v>2</v>
          </cell>
          <cell r="I883">
            <v>0</v>
          </cell>
          <cell r="J883">
            <v>0</v>
          </cell>
          <cell r="K883">
            <v>0</v>
          </cell>
        </row>
        <row r="884">
          <cell r="A884">
            <v>14494761</v>
          </cell>
          <cell r="B884" t="str">
            <v>'14494761',</v>
          </cell>
          <cell r="C884" t="str">
            <v>Amanecer JJcer S.A.C.</v>
          </cell>
          <cell r="D884" t="str">
            <v>PE Dir Lima</v>
          </cell>
          <cell r="E884" t="str">
            <v>PE Ger P1 Lima Oeste</v>
          </cell>
          <cell r="F884">
            <v>0</v>
          </cell>
          <cell r="G884">
            <v>1</v>
          </cell>
          <cell r="H884">
            <v>1</v>
          </cell>
          <cell r="I884">
            <v>0</v>
          </cell>
          <cell r="J884">
            <v>0</v>
          </cell>
          <cell r="K884">
            <v>0</v>
          </cell>
        </row>
        <row r="885">
          <cell r="A885">
            <v>14441483</v>
          </cell>
          <cell r="B885" t="str">
            <v>'14441483',</v>
          </cell>
          <cell r="C885" t="str">
            <v>El Coral de Susy</v>
          </cell>
          <cell r="D885" t="str">
            <v>PE Dir Lima</v>
          </cell>
          <cell r="E885" t="str">
            <v>PE Ger P1 Lima Oeste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</row>
        <row r="886">
          <cell r="A886">
            <v>14396252</v>
          </cell>
          <cell r="B886" t="str">
            <v>'14396252',</v>
          </cell>
          <cell r="C886" t="str">
            <v>Puerto Gaviotas</v>
          </cell>
          <cell r="D886" t="str">
            <v>PE Dir Lima</v>
          </cell>
          <cell r="E886" t="str">
            <v>PE Ger P1 Lima Oeste</v>
          </cell>
          <cell r="F886">
            <v>0</v>
          </cell>
          <cell r="G886">
            <v>2</v>
          </cell>
          <cell r="H886">
            <v>2</v>
          </cell>
          <cell r="I886">
            <v>0</v>
          </cell>
          <cell r="J886">
            <v>0</v>
          </cell>
          <cell r="K886">
            <v>0</v>
          </cell>
        </row>
        <row r="887">
          <cell r="A887">
            <v>14392844</v>
          </cell>
          <cell r="B887" t="str">
            <v>'14392844',</v>
          </cell>
          <cell r="C887" t="str">
            <v>El encuentro del Paisa</v>
          </cell>
          <cell r="D887" t="str">
            <v>PE Dir Lima</v>
          </cell>
          <cell r="E887" t="str">
            <v>PE Ger P1 Lima Centr</v>
          </cell>
          <cell r="F887">
            <v>0</v>
          </cell>
          <cell r="G887">
            <v>2</v>
          </cell>
          <cell r="H887">
            <v>2</v>
          </cell>
          <cell r="I887">
            <v>0</v>
          </cell>
          <cell r="J887">
            <v>0</v>
          </cell>
          <cell r="K887">
            <v>0</v>
          </cell>
        </row>
        <row r="888">
          <cell r="A888">
            <v>14126476</v>
          </cell>
          <cell r="B888" t="str">
            <v>'14126476',</v>
          </cell>
          <cell r="C888" t="str">
            <v>Huerto Azul</v>
          </cell>
          <cell r="D888" t="str">
            <v>PE Dir Lima</v>
          </cell>
          <cell r="E888" t="str">
            <v>PE Ger P1 Lima Oeste</v>
          </cell>
          <cell r="F888">
            <v>0</v>
          </cell>
          <cell r="G888">
            <v>1</v>
          </cell>
          <cell r="H888">
            <v>1</v>
          </cell>
          <cell r="I888">
            <v>0</v>
          </cell>
          <cell r="J888">
            <v>0</v>
          </cell>
          <cell r="K888">
            <v>0</v>
          </cell>
        </row>
        <row r="889">
          <cell r="A889">
            <v>14126464</v>
          </cell>
          <cell r="B889" t="str">
            <v>'14126464',</v>
          </cell>
          <cell r="C889" t="str">
            <v>No canjeo aún</v>
          </cell>
          <cell r="D889" t="str">
            <v>PE Dir Lima</v>
          </cell>
          <cell r="E889" t="str">
            <v>PE Ger P1 Lima Oeste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</row>
        <row r="890">
          <cell r="A890">
            <v>13322903</v>
          </cell>
          <cell r="B890" t="str">
            <v>'13322903',</v>
          </cell>
          <cell r="C890" t="str">
            <v>Restaurant cevicheria Danny</v>
          </cell>
          <cell r="D890" t="str">
            <v>PE Dir Lima</v>
          </cell>
          <cell r="E890" t="str">
            <v>PE Ger P1 Lima Oeste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</row>
        <row r="891">
          <cell r="A891">
            <v>13311707</v>
          </cell>
          <cell r="B891" t="str">
            <v>'13311707',</v>
          </cell>
          <cell r="C891" t="str">
            <v>Camarón con concha</v>
          </cell>
          <cell r="D891" t="str">
            <v>PE Dir Lima</v>
          </cell>
          <cell r="E891" t="str">
            <v>PE Ger P1 Lima Oeste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</row>
        <row r="892">
          <cell r="A892">
            <v>12937415</v>
          </cell>
          <cell r="B892" t="str">
            <v>'12937415',</v>
          </cell>
          <cell r="C892" t="str">
            <v>No canjeo aún</v>
          </cell>
          <cell r="D892" t="str">
            <v>PE Dir Lima</v>
          </cell>
          <cell r="E892" t="str">
            <v>PE Ger P1 Lima Oeste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</row>
        <row r="893">
          <cell r="A893">
            <v>12793028</v>
          </cell>
          <cell r="B893" t="str">
            <v>'12793028',</v>
          </cell>
          <cell r="C893" t="str">
            <v>No canjeo aún</v>
          </cell>
          <cell r="D893" t="str">
            <v>PE Dir Lima</v>
          </cell>
          <cell r="E893" t="str">
            <v>PE Ger P1 Lima Oeste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</row>
        <row r="894">
          <cell r="A894">
            <v>10975260</v>
          </cell>
          <cell r="B894" t="str">
            <v>'10975260',</v>
          </cell>
          <cell r="C894" t="str">
            <v>No canjeo aún</v>
          </cell>
          <cell r="D894" t="str">
            <v>PE Dir Lima</v>
          </cell>
          <cell r="E894" t="str">
            <v>PE Ger P1 Lima Oeste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</row>
        <row r="895">
          <cell r="A895">
            <v>10261862</v>
          </cell>
          <cell r="B895" t="str">
            <v>'10261862',</v>
          </cell>
          <cell r="C895" t="str">
            <v>Cevicheria D’marcos</v>
          </cell>
          <cell r="D895" t="str">
            <v>PE Dir Lima</v>
          </cell>
          <cell r="E895" t="str">
            <v>PE Ger P1 Lima Sur</v>
          </cell>
          <cell r="F895">
            <v>0</v>
          </cell>
          <cell r="G895">
            <v>1</v>
          </cell>
          <cell r="H895">
            <v>1</v>
          </cell>
          <cell r="I895">
            <v>0</v>
          </cell>
          <cell r="J895">
            <v>0</v>
          </cell>
          <cell r="K895">
            <v>0</v>
          </cell>
        </row>
        <row r="896">
          <cell r="A896">
            <v>14021436</v>
          </cell>
          <cell r="B896" t="str">
            <v>'14021436',</v>
          </cell>
          <cell r="C896" t="str">
            <v>Lima 36 - Lounge bar</v>
          </cell>
          <cell r="D896" t="str">
            <v>PE Dir Lima</v>
          </cell>
          <cell r="E896" t="str">
            <v>PE Ger P1 Lima Centr</v>
          </cell>
          <cell r="F896">
            <v>0</v>
          </cell>
          <cell r="G896">
            <v>2</v>
          </cell>
          <cell r="H896">
            <v>2</v>
          </cell>
          <cell r="I896">
            <v>0</v>
          </cell>
          <cell r="J896">
            <v>0</v>
          </cell>
          <cell r="K896">
            <v>0</v>
          </cell>
        </row>
        <row r="897">
          <cell r="A897">
            <v>13976210</v>
          </cell>
          <cell r="B897" t="str">
            <v>'13976210',</v>
          </cell>
          <cell r="C897" t="str">
            <v>No canjeo aún</v>
          </cell>
          <cell r="D897" t="str">
            <v>PE Dir Lima</v>
          </cell>
          <cell r="E897" t="str">
            <v>PE Ger P1 Lima Este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</row>
        <row r="898">
          <cell r="A898">
            <v>13045076</v>
          </cell>
          <cell r="B898" t="str">
            <v>'13045076',</v>
          </cell>
          <cell r="C898" t="str">
            <v>El buen sabor - Junior Parrillas</v>
          </cell>
          <cell r="D898" t="str">
            <v>PE Dir Lima</v>
          </cell>
          <cell r="E898" t="str">
            <v>PE Ger P1 Lima Centr</v>
          </cell>
          <cell r="F898">
            <v>0</v>
          </cell>
          <cell r="G898">
            <v>8</v>
          </cell>
          <cell r="H898">
            <v>8</v>
          </cell>
          <cell r="I898">
            <v>0</v>
          </cell>
          <cell r="J898">
            <v>7</v>
          </cell>
          <cell r="K898">
            <v>7</v>
          </cell>
        </row>
        <row r="899">
          <cell r="A899">
            <v>12798524</v>
          </cell>
          <cell r="B899" t="str">
            <v>'12798524',</v>
          </cell>
          <cell r="C899" t="str">
            <v>El otro patio</v>
          </cell>
          <cell r="D899" t="str">
            <v>PE Dir Lima</v>
          </cell>
          <cell r="E899" t="str">
            <v>PE Ger P1 Lima Norte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</row>
        <row r="900">
          <cell r="A900">
            <v>12109138</v>
          </cell>
          <cell r="B900" t="str">
            <v>'12109138',</v>
          </cell>
          <cell r="C900" t="str">
            <v>El Jefe Smoked</v>
          </cell>
          <cell r="D900" t="str">
            <v>PE Dir Lima</v>
          </cell>
          <cell r="E900" t="str">
            <v>PE Ger P1 Lima Centr</v>
          </cell>
          <cell r="F900">
            <v>0</v>
          </cell>
          <cell r="G900">
            <v>2</v>
          </cell>
          <cell r="H900">
            <v>2</v>
          </cell>
          <cell r="I900">
            <v>0</v>
          </cell>
          <cell r="J900">
            <v>0</v>
          </cell>
          <cell r="K900">
            <v>0</v>
          </cell>
        </row>
        <row r="901">
          <cell r="A901">
            <v>10950400</v>
          </cell>
          <cell r="B901" t="str">
            <v>'10950400',</v>
          </cell>
          <cell r="C901" t="str">
            <v>Deleite del mar</v>
          </cell>
          <cell r="D901" t="str">
            <v>PE Dir Lima</v>
          </cell>
          <cell r="E901" t="str">
            <v>PE Ger P1 Lima Este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</row>
        <row r="902">
          <cell r="A902">
            <v>10168536</v>
          </cell>
          <cell r="B902" t="str">
            <v>'10168536',</v>
          </cell>
          <cell r="C902" t="str">
            <v>Purito Centro</v>
          </cell>
          <cell r="D902" t="str">
            <v>PE Dir Lima</v>
          </cell>
          <cell r="E902" t="str">
            <v>PE Ger P1 Lima Centr</v>
          </cell>
          <cell r="F902">
            <v>0</v>
          </cell>
          <cell r="G902">
            <v>2</v>
          </cell>
          <cell r="H902">
            <v>2</v>
          </cell>
          <cell r="I902">
            <v>0</v>
          </cell>
          <cell r="J902">
            <v>1</v>
          </cell>
          <cell r="K902">
            <v>1</v>
          </cell>
        </row>
        <row r="903">
          <cell r="A903">
            <v>11335526</v>
          </cell>
          <cell r="B903" t="str">
            <v>'11335526',</v>
          </cell>
          <cell r="C903" t="str">
            <v>No canjeo aún</v>
          </cell>
          <cell r="D903" t="str">
            <v>PE Dir Lima</v>
          </cell>
          <cell r="E903" t="str">
            <v>PE Ger P1 Norte Chi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</row>
        <row r="904">
          <cell r="A904">
            <v>14205809</v>
          </cell>
          <cell r="B904" t="str">
            <v>'14205809',</v>
          </cell>
          <cell r="C904" t="str">
            <v>Rustica Mall Plaza Comas</v>
          </cell>
          <cell r="D904" t="str">
            <v>PE Dir Lima</v>
          </cell>
          <cell r="E904" t="str">
            <v>PE Ger P1 Lima Norte</v>
          </cell>
          <cell r="F904">
            <v>0</v>
          </cell>
          <cell r="G904">
            <v>1</v>
          </cell>
          <cell r="H904">
            <v>1</v>
          </cell>
          <cell r="I904">
            <v>0</v>
          </cell>
          <cell r="J904">
            <v>0</v>
          </cell>
          <cell r="K904">
            <v>0</v>
          </cell>
        </row>
        <row r="905">
          <cell r="A905">
            <v>14315867</v>
          </cell>
          <cell r="B905" t="str">
            <v>'14315867',</v>
          </cell>
          <cell r="C905" t="e">
            <v>#N/A</v>
          </cell>
          <cell r="D905" t="e">
            <v>#N/A</v>
          </cell>
          <cell r="E905" t="e">
            <v>#N/A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</row>
        <row r="906">
          <cell r="A906">
            <v>10053731</v>
          </cell>
          <cell r="B906" t="str">
            <v>'10053731',</v>
          </cell>
          <cell r="C906" t="str">
            <v>No canjeo aún</v>
          </cell>
          <cell r="D906" t="str">
            <v>PE Dir Norte</v>
          </cell>
          <cell r="E906" t="str">
            <v>PE Ger P2 Trujillo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</row>
        <row r="907">
          <cell r="A907">
            <v>14423702</v>
          </cell>
          <cell r="B907" t="str">
            <v>'14423702',</v>
          </cell>
          <cell r="C907" t="str">
            <v>No canjeo aún</v>
          </cell>
          <cell r="D907" t="str">
            <v>PE Dir Norte</v>
          </cell>
          <cell r="E907" t="str">
            <v>PE Ger P2 Chiclay Ca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</row>
        <row r="908">
          <cell r="A908">
            <v>10011561</v>
          </cell>
          <cell r="B908" t="str">
            <v>'10011561',</v>
          </cell>
          <cell r="C908" t="str">
            <v>No canjeo aún</v>
          </cell>
          <cell r="D908" t="str">
            <v>PE Dir Norte</v>
          </cell>
          <cell r="E908" t="str">
            <v>PE Ger P2 Chiclay Ca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</row>
        <row r="909">
          <cell r="A909">
            <v>10063669</v>
          </cell>
          <cell r="B909" t="str">
            <v>'10063669',</v>
          </cell>
          <cell r="C909" t="str">
            <v>Golf &amp; Country Club</v>
          </cell>
          <cell r="D909" t="str">
            <v>PE Dir Norte</v>
          </cell>
          <cell r="E909" t="str">
            <v>PE Ger P2 Trujillo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</row>
        <row r="910">
          <cell r="A910">
            <v>11148448</v>
          </cell>
          <cell r="B910" t="str">
            <v>'11148448',</v>
          </cell>
          <cell r="C910" t="str">
            <v>La Noria Recreo Campestre</v>
          </cell>
          <cell r="D910" t="str">
            <v>PE Dir Norte</v>
          </cell>
          <cell r="E910" t="str">
            <v>PE Ger P2 Chiclay Ca</v>
          </cell>
          <cell r="F910">
            <v>0</v>
          </cell>
          <cell r="G910">
            <v>9</v>
          </cell>
          <cell r="H910">
            <v>9</v>
          </cell>
          <cell r="I910">
            <v>0</v>
          </cell>
          <cell r="J910">
            <v>0</v>
          </cell>
          <cell r="K910">
            <v>0</v>
          </cell>
        </row>
        <row r="911">
          <cell r="A911">
            <v>13648961</v>
          </cell>
          <cell r="B911" t="str">
            <v>'13648961',</v>
          </cell>
          <cell r="C911" t="str">
            <v>Restaurante y Cevicheria sant</v>
          </cell>
          <cell r="D911" t="str">
            <v>PE Dir Norte</v>
          </cell>
          <cell r="E911" t="str">
            <v>PE Ger P2 Trujillo</v>
          </cell>
          <cell r="F911">
            <v>0</v>
          </cell>
          <cell r="G911">
            <v>1</v>
          </cell>
          <cell r="H911">
            <v>1</v>
          </cell>
          <cell r="I911">
            <v>0</v>
          </cell>
          <cell r="J911">
            <v>0</v>
          </cell>
          <cell r="K911">
            <v>0</v>
          </cell>
        </row>
        <row r="912">
          <cell r="A912">
            <v>13680759</v>
          </cell>
          <cell r="B912" t="str">
            <v>'13680759',</v>
          </cell>
          <cell r="C912" t="str">
            <v>No canjeo aún</v>
          </cell>
          <cell r="D912" t="str">
            <v>PE Dir Norte</v>
          </cell>
          <cell r="E912" t="str">
            <v>PE Ger P2 Tumbes T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>
            <v>13689864</v>
          </cell>
          <cell r="B913" t="str">
            <v>'13689864',</v>
          </cell>
          <cell r="C913" t="str">
            <v>La casa de tino</v>
          </cell>
          <cell r="D913" t="str">
            <v>PE Dir Norte</v>
          </cell>
          <cell r="E913" t="str">
            <v>PE Ger P2 Tumbes T</v>
          </cell>
          <cell r="F913">
            <v>0</v>
          </cell>
          <cell r="G913">
            <v>2</v>
          </cell>
          <cell r="H913">
            <v>2</v>
          </cell>
          <cell r="I913">
            <v>0</v>
          </cell>
          <cell r="J913">
            <v>0</v>
          </cell>
          <cell r="K913">
            <v>0</v>
          </cell>
        </row>
        <row r="914">
          <cell r="A914">
            <v>14370261</v>
          </cell>
          <cell r="B914" t="str">
            <v>'14370261',</v>
          </cell>
          <cell r="C914" t="str">
            <v>La Guardia</v>
          </cell>
          <cell r="D914" t="str">
            <v>PE Dir Norte</v>
          </cell>
          <cell r="E914" t="str">
            <v>PE Ger P2 Chiclay Ca</v>
          </cell>
          <cell r="F914">
            <v>0</v>
          </cell>
          <cell r="G914">
            <v>13</v>
          </cell>
          <cell r="H914">
            <v>13</v>
          </cell>
          <cell r="I914">
            <v>0</v>
          </cell>
          <cell r="J914">
            <v>10</v>
          </cell>
          <cell r="K914">
            <v>10</v>
          </cell>
        </row>
        <row r="915">
          <cell r="A915">
            <v>14415079</v>
          </cell>
          <cell r="B915" t="str">
            <v>'14415079',</v>
          </cell>
          <cell r="C915" t="str">
            <v>No canjeo aún</v>
          </cell>
          <cell r="D915" t="str">
            <v>PE Dir Norte</v>
          </cell>
          <cell r="E915" t="str">
            <v>PE Ger P2 Trujillo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</row>
        <row r="916">
          <cell r="A916">
            <v>14161230</v>
          </cell>
          <cell r="B916" t="str">
            <v>'14161230',</v>
          </cell>
          <cell r="C916" t="str">
            <v>No canjeo aún</v>
          </cell>
          <cell r="D916" t="str">
            <v>PE Dir Norte</v>
          </cell>
          <cell r="E916" t="str">
            <v>PE Ger P2 Ancash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</row>
        <row r="917">
          <cell r="A917">
            <v>13843657</v>
          </cell>
          <cell r="B917" t="str">
            <v>'13843657',</v>
          </cell>
          <cell r="C917" t="str">
            <v>No canjeo aún</v>
          </cell>
          <cell r="D917" t="str">
            <v>PE Dir Norte</v>
          </cell>
          <cell r="E917" t="str">
            <v>PE Ger P2 Tumbes T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</row>
        <row r="918">
          <cell r="A918">
            <v>10066343</v>
          </cell>
          <cell r="B918" t="str">
            <v>'10066343',</v>
          </cell>
          <cell r="C918" t="str">
            <v>No canjeo aún</v>
          </cell>
          <cell r="D918" t="str">
            <v>PE Dir Norte</v>
          </cell>
          <cell r="E918" t="str">
            <v>PE Ger P2 Trujillo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</row>
        <row r="919">
          <cell r="A919">
            <v>14029068</v>
          </cell>
          <cell r="B919" t="str">
            <v>'14029068',</v>
          </cell>
          <cell r="C919" t="str">
            <v>Festa</v>
          </cell>
          <cell r="D919" t="str">
            <v>PE Dir Norte</v>
          </cell>
          <cell r="E919" t="str">
            <v>PE Ger P2 Piura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</row>
        <row r="920">
          <cell r="A920">
            <v>13468990</v>
          </cell>
          <cell r="B920" t="str">
            <v>'13468990',</v>
          </cell>
          <cell r="C920" t="str">
            <v>Restobar Cautivo</v>
          </cell>
          <cell r="D920" t="str">
            <v>PE Dir Norte</v>
          </cell>
          <cell r="E920" t="str">
            <v>PE Ger P2 Piura</v>
          </cell>
          <cell r="F920">
            <v>0</v>
          </cell>
          <cell r="G920">
            <v>1</v>
          </cell>
          <cell r="H920">
            <v>1</v>
          </cell>
          <cell r="I920">
            <v>0</v>
          </cell>
          <cell r="J920">
            <v>0</v>
          </cell>
          <cell r="K920">
            <v>0</v>
          </cell>
        </row>
        <row r="921">
          <cell r="A921">
            <v>13024334</v>
          </cell>
          <cell r="B921" t="str">
            <v>'13024334',</v>
          </cell>
          <cell r="C921" t="str">
            <v>Boulevard 24/7</v>
          </cell>
          <cell r="D921" t="str">
            <v>PE Dir Norte</v>
          </cell>
          <cell r="E921" t="str">
            <v>PE Ger P2 Piura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</row>
        <row r="922">
          <cell r="A922">
            <v>12210012</v>
          </cell>
          <cell r="B922" t="str">
            <v>'12210012',</v>
          </cell>
          <cell r="C922" t="str">
            <v>No canjeo aún</v>
          </cell>
          <cell r="D922" t="str">
            <v>PE Dir Norte</v>
          </cell>
          <cell r="E922" t="str">
            <v>PE Ger P2 Chiclay Ca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</row>
        <row r="923">
          <cell r="A923">
            <v>13518640</v>
          </cell>
          <cell r="B923" t="str">
            <v>'13518640',</v>
          </cell>
          <cell r="C923" t="e">
            <v>#N/A</v>
          </cell>
          <cell r="D923" t="e">
            <v>#N/A</v>
          </cell>
          <cell r="E923" t="e">
            <v>#N/A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</row>
        <row r="924">
          <cell r="A924">
            <v>11488245</v>
          </cell>
          <cell r="B924" t="str">
            <v>'11488245',</v>
          </cell>
          <cell r="C924" t="str">
            <v>Restaurant el parras</v>
          </cell>
          <cell r="D924" t="str">
            <v>PE Dir Sur</v>
          </cell>
          <cell r="E924" t="str">
            <v>PE Ger P3 Tacna</v>
          </cell>
          <cell r="F924">
            <v>0</v>
          </cell>
          <cell r="G924">
            <v>3</v>
          </cell>
          <cell r="H924">
            <v>3</v>
          </cell>
          <cell r="I924">
            <v>0</v>
          </cell>
          <cell r="J924">
            <v>0</v>
          </cell>
          <cell r="K924">
            <v>0</v>
          </cell>
        </row>
        <row r="925">
          <cell r="A925">
            <v>12764236</v>
          </cell>
          <cell r="B925" t="str">
            <v>'12764236',</v>
          </cell>
          <cell r="C925" t="str">
            <v>De Bania Cevicheria Restaurant</v>
          </cell>
          <cell r="D925" t="str">
            <v>PE Dir Sur</v>
          </cell>
          <cell r="E925" t="str">
            <v>PE Ger P3 Tacna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>
            <v>12955968</v>
          </cell>
          <cell r="B926" t="str">
            <v>'12955968',</v>
          </cell>
          <cell r="C926" t="str">
            <v>Muelle sur</v>
          </cell>
          <cell r="D926" t="str">
            <v>PE Dir Sur</v>
          </cell>
          <cell r="E926" t="str">
            <v>PE Ger P3 Tacna</v>
          </cell>
          <cell r="F926">
            <v>0</v>
          </cell>
          <cell r="G926">
            <v>5</v>
          </cell>
          <cell r="H926">
            <v>5</v>
          </cell>
          <cell r="I926">
            <v>0</v>
          </cell>
          <cell r="J926">
            <v>0</v>
          </cell>
          <cell r="K926">
            <v>0</v>
          </cell>
        </row>
        <row r="927">
          <cell r="A927">
            <v>11749106</v>
          </cell>
          <cell r="B927" t="str">
            <v>'11749106',</v>
          </cell>
          <cell r="C927" t="e">
            <v>#N/A</v>
          </cell>
          <cell r="D927" t="e">
            <v>#N/A</v>
          </cell>
          <cell r="E927" t="e">
            <v>#N/A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</row>
        <row r="928">
          <cell r="A928">
            <v>14040560</v>
          </cell>
          <cell r="B928" t="str">
            <v>'14040560',</v>
          </cell>
          <cell r="C928" t="str">
            <v>Cracken Gastronomia Marina</v>
          </cell>
          <cell r="D928" t="str">
            <v>PE Dir Sur</v>
          </cell>
          <cell r="E928" t="str">
            <v>PE Ger P3 Tacna</v>
          </cell>
          <cell r="F928">
            <v>0</v>
          </cell>
          <cell r="G928">
            <v>2</v>
          </cell>
          <cell r="H928">
            <v>2</v>
          </cell>
          <cell r="I928">
            <v>0</v>
          </cell>
          <cell r="J928">
            <v>0</v>
          </cell>
          <cell r="K928">
            <v>0</v>
          </cell>
        </row>
        <row r="929">
          <cell r="A929">
            <v>14058790</v>
          </cell>
          <cell r="B929" t="str">
            <v>'14058790',</v>
          </cell>
          <cell r="C929" t="str">
            <v>La campiña</v>
          </cell>
          <cell r="D929" t="str">
            <v>PE Dir Sur</v>
          </cell>
          <cell r="E929" t="str">
            <v>PE Ger P3 Tacna</v>
          </cell>
          <cell r="F929">
            <v>0</v>
          </cell>
          <cell r="G929">
            <v>2</v>
          </cell>
          <cell r="H929">
            <v>2</v>
          </cell>
          <cell r="I929">
            <v>0</v>
          </cell>
          <cell r="J929">
            <v>0</v>
          </cell>
          <cell r="K929">
            <v>0</v>
          </cell>
        </row>
        <row r="930">
          <cell r="A930">
            <v>14354776</v>
          </cell>
          <cell r="B930" t="str">
            <v>'14354776',</v>
          </cell>
          <cell r="C930" t="str">
            <v>MERCADO - Cocina Libre</v>
          </cell>
          <cell r="D930" t="str">
            <v>PE Dir Sur</v>
          </cell>
          <cell r="E930" t="str">
            <v>PE Ger P3 Tacna</v>
          </cell>
          <cell r="F930">
            <v>0</v>
          </cell>
          <cell r="G930">
            <v>2</v>
          </cell>
          <cell r="H930">
            <v>2</v>
          </cell>
          <cell r="I930">
            <v>0</v>
          </cell>
          <cell r="J930">
            <v>0</v>
          </cell>
          <cell r="K930">
            <v>0</v>
          </cell>
        </row>
        <row r="931">
          <cell r="A931">
            <v>14412407</v>
          </cell>
          <cell r="B931" t="str">
            <v>'14412407',</v>
          </cell>
          <cell r="C931" t="str">
            <v>La Caleta</v>
          </cell>
          <cell r="D931" t="str">
            <v>PE Dir Sur</v>
          </cell>
          <cell r="E931" t="str">
            <v>PE Ger P3 Arequipa</v>
          </cell>
          <cell r="F931">
            <v>0</v>
          </cell>
          <cell r="G931">
            <v>6</v>
          </cell>
          <cell r="H931">
            <v>6</v>
          </cell>
          <cell r="I931">
            <v>0</v>
          </cell>
          <cell r="J931">
            <v>6</v>
          </cell>
          <cell r="K931">
            <v>6</v>
          </cell>
        </row>
        <row r="932">
          <cell r="A932">
            <v>14475781</v>
          </cell>
          <cell r="B932" t="str">
            <v>'14475781',</v>
          </cell>
          <cell r="C932" t="str">
            <v>Torenzo</v>
          </cell>
          <cell r="D932" t="str">
            <v>PE Dir Sur</v>
          </cell>
          <cell r="E932" t="str">
            <v>PE Ger P3 Tacna</v>
          </cell>
          <cell r="F932">
            <v>0</v>
          </cell>
          <cell r="G932">
            <v>3</v>
          </cell>
          <cell r="H932">
            <v>3</v>
          </cell>
          <cell r="I932">
            <v>0</v>
          </cell>
          <cell r="J932">
            <v>0</v>
          </cell>
          <cell r="K932">
            <v>0</v>
          </cell>
        </row>
        <row r="933">
          <cell r="A933">
            <v>12737781</v>
          </cell>
          <cell r="B933" t="str">
            <v>'12737781',</v>
          </cell>
          <cell r="C933" t="str">
            <v>Alfredo´s</v>
          </cell>
          <cell r="D933" t="str">
            <v>PE Dir Sur</v>
          </cell>
          <cell r="E933" t="str">
            <v>PE Ger P3 Ayacucho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</row>
        <row r="934">
          <cell r="A934">
            <v>13757364</v>
          </cell>
          <cell r="B934" t="str">
            <v>'13757364',</v>
          </cell>
          <cell r="C934" t="str">
            <v>Umaru Hotel</v>
          </cell>
          <cell r="D934" t="str">
            <v>PE Dir Sur</v>
          </cell>
          <cell r="E934" t="str">
            <v>PE Ger P3 Ayacucho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</row>
        <row r="935">
          <cell r="A935">
            <v>13987416</v>
          </cell>
          <cell r="B935" t="str">
            <v>'13987416',</v>
          </cell>
          <cell r="C935" t="str">
            <v>La Matarina Club Campestre</v>
          </cell>
          <cell r="D935" t="str">
            <v>PE Dir Lima</v>
          </cell>
          <cell r="E935" t="str">
            <v>PE Ger P1 Lima Norte</v>
          </cell>
          <cell r="F935">
            <v>0</v>
          </cell>
          <cell r="G935">
            <v>1</v>
          </cell>
          <cell r="H935">
            <v>1</v>
          </cell>
          <cell r="I935">
            <v>1</v>
          </cell>
          <cell r="J935">
            <v>0</v>
          </cell>
          <cell r="K935">
            <v>1</v>
          </cell>
        </row>
        <row r="936">
          <cell r="A936">
            <v>14300831</v>
          </cell>
          <cell r="B936" t="str">
            <v>'14300831',</v>
          </cell>
          <cell r="C936" t="e">
            <v>#N/A</v>
          </cell>
          <cell r="D936" t="e">
            <v>#N/A</v>
          </cell>
          <cell r="E936" t="e">
            <v>#N/A</v>
          </cell>
          <cell r="F936">
            <v>5</v>
          </cell>
          <cell r="G936">
            <v>0</v>
          </cell>
          <cell r="H936">
            <v>5</v>
          </cell>
          <cell r="I936">
            <v>4</v>
          </cell>
          <cell r="J936">
            <v>0</v>
          </cell>
          <cell r="K936">
            <v>4</v>
          </cell>
        </row>
        <row r="937">
          <cell r="A937">
            <v>12695710</v>
          </cell>
          <cell r="B937" t="str">
            <v>'12695710',</v>
          </cell>
          <cell r="C937" t="e">
            <v>#N/A</v>
          </cell>
          <cell r="D937" t="e">
            <v>#N/A</v>
          </cell>
          <cell r="E937" t="e">
            <v>#N/A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5"/>
  <sheetViews>
    <sheetView tabSelected="1" workbookViewId="0">
      <selection activeCell="D2" sqref="D2"/>
    </sheetView>
  </sheetViews>
  <sheetFormatPr baseColWidth="10" defaultColWidth="10.625" defaultRowHeight="12.75" x14ac:dyDescent="0.25"/>
  <cols>
    <col min="1" max="1" width="12.5" style="2" customWidth="1"/>
    <col min="2" max="7" width="12.5" style="3" customWidth="1"/>
    <col min="8" max="16384" width="10.625" style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3" t="s">
        <v>4</v>
      </c>
      <c r="G1" s="4" t="s">
        <v>5</v>
      </c>
    </row>
    <row r="2" spans="1:7" x14ac:dyDescent="0.25">
      <c r="A2" s="2">
        <v>10005673</v>
      </c>
      <c r="B2" s="3">
        <v>0.372</v>
      </c>
      <c r="C2" s="3">
        <v>20</v>
      </c>
      <c r="D2" s="3">
        <v>5</v>
      </c>
      <c r="E2" s="3">
        <f>+VLOOKUP(A2,'[1]Reporte Canjes Meals'!$A:$K,10,0)</f>
        <v>16</v>
      </c>
      <c r="F2" s="3">
        <f>+E2/4</f>
        <v>4</v>
      </c>
      <c r="G2" s="3">
        <f>+D2-F2</f>
        <v>1</v>
      </c>
    </row>
    <row r="3" spans="1:7" x14ac:dyDescent="0.25">
      <c r="A3" s="2">
        <v>10006134</v>
      </c>
      <c r="B3" s="3">
        <v>0.52200000000000002</v>
      </c>
      <c r="C3" s="3">
        <v>28</v>
      </c>
      <c r="D3" s="3">
        <v>7</v>
      </c>
      <c r="E3" s="3">
        <f>+VLOOKUP(A3,'[1]Reporte Canjes Meals'!$A:$K,10,0)</f>
        <v>16</v>
      </c>
      <c r="F3" s="3">
        <f t="shared" ref="F3:F66" si="0">+E3/4</f>
        <v>4</v>
      </c>
      <c r="G3" s="3">
        <f t="shared" ref="G3:G66" si="1">+D3-F3</f>
        <v>3</v>
      </c>
    </row>
    <row r="4" spans="1:7" x14ac:dyDescent="0.25">
      <c r="A4" s="2">
        <v>10013563</v>
      </c>
      <c r="B4" s="3">
        <v>0.16700000000000001</v>
      </c>
      <c r="C4" s="3">
        <v>9</v>
      </c>
      <c r="D4" s="3">
        <v>2.25</v>
      </c>
      <c r="E4" s="3">
        <f>+VLOOKUP(A4,'[1]Reporte Canjes Meals'!$A:$K,10,0)</f>
        <v>0</v>
      </c>
      <c r="F4" s="3">
        <f t="shared" si="0"/>
        <v>0</v>
      </c>
      <c r="G4" s="3">
        <f t="shared" si="1"/>
        <v>2.25</v>
      </c>
    </row>
    <row r="5" spans="1:7" x14ac:dyDescent="0.25">
      <c r="A5" s="2">
        <v>10014672</v>
      </c>
      <c r="B5" s="3">
        <v>3.6999999999999998E-2</v>
      </c>
      <c r="C5" s="3">
        <v>2</v>
      </c>
      <c r="D5" s="3">
        <v>0.5</v>
      </c>
      <c r="E5" s="3">
        <f>+VLOOKUP(A5,'[1]Reporte Canjes Meals'!$A:$K,10,0)</f>
        <v>0</v>
      </c>
      <c r="F5" s="3">
        <f t="shared" si="0"/>
        <v>0</v>
      </c>
      <c r="G5" s="3">
        <f t="shared" si="1"/>
        <v>0.5</v>
      </c>
    </row>
    <row r="6" spans="1:7" x14ac:dyDescent="0.25">
      <c r="A6" s="2">
        <v>10017377</v>
      </c>
      <c r="B6" s="3">
        <v>0.70699999999999996</v>
      </c>
      <c r="C6" s="3">
        <v>38</v>
      </c>
      <c r="D6" s="3">
        <v>9.5</v>
      </c>
      <c r="E6" s="3">
        <f>+VLOOKUP(A6,'[1]Reporte Canjes Meals'!$A:$K,10,0)</f>
        <v>2</v>
      </c>
      <c r="F6" s="3">
        <f t="shared" si="0"/>
        <v>0.5</v>
      </c>
      <c r="G6" s="3">
        <f t="shared" si="1"/>
        <v>9</v>
      </c>
    </row>
    <row r="7" spans="1:7" x14ac:dyDescent="0.25">
      <c r="A7" s="2">
        <v>10018311</v>
      </c>
      <c r="B7" s="3">
        <v>0.14899999999999999</v>
      </c>
      <c r="C7" s="3">
        <v>8</v>
      </c>
      <c r="D7" s="3">
        <v>2</v>
      </c>
      <c r="E7" s="3">
        <f>+VLOOKUP(A7,'[1]Reporte Canjes Meals'!$A:$K,10,0)</f>
        <v>0</v>
      </c>
      <c r="F7" s="3">
        <f t="shared" si="0"/>
        <v>0</v>
      </c>
      <c r="G7" s="3">
        <f t="shared" si="1"/>
        <v>2</v>
      </c>
    </row>
    <row r="8" spans="1:7" x14ac:dyDescent="0.25">
      <c r="A8" s="2">
        <v>10023643</v>
      </c>
      <c r="B8" s="3">
        <v>0.26100000000000001</v>
      </c>
      <c r="C8" s="3">
        <v>14</v>
      </c>
      <c r="D8" s="3">
        <v>3.5</v>
      </c>
      <c r="E8" s="3">
        <f>+VLOOKUP(A8,'[1]Reporte Canjes Meals'!$A:$K,10,0)</f>
        <v>1</v>
      </c>
      <c r="F8" s="3">
        <f t="shared" si="0"/>
        <v>0.25</v>
      </c>
      <c r="G8" s="3">
        <f t="shared" si="1"/>
        <v>3.25</v>
      </c>
    </row>
    <row r="9" spans="1:7" x14ac:dyDescent="0.25">
      <c r="A9" s="2">
        <v>10025123</v>
      </c>
      <c r="B9" s="3">
        <v>0.39</v>
      </c>
      <c r="C9" s="3">
        <v>21</v>
      </c>
      <c r="D9" s="3">
        <v>5.25</v>
      </c>
      <c r="E9" s="3">
        <f>+VLOOKUP(A9,'[1]Reporte Canjes Meals'!$A:$K,10,0)</f>
        <v>1</v>
      </c>
      <c r="F9" s="3">
        <f t="shared" si="0"/>
        <v>0.25</v>
      </c>
      <c r="G9" s="3">
        <f t="shared" si="1"/>
        <v>5</v>
      </c>
    </row>
    <row r="10" spans="1:7" x14ac:dyDescent="0.25">
      <c r="A10" s="3">
        <v>10025322</v>
      </c>
      <c r="B10" s="3">
        <v>0.89300000000000002</v>
      </c>
      <c r="C10" s="3">
        <v>48</v>
      </c>
      <c r="D10" s="3">
        <v>12</v>
      </c>
      <c r="E10" s="3">
        <f>+VLOOKUP(A10,'[1]Reporte Canjes Meals'!$A:$K,10,0)</f>
        <v>48</v>
      </c>
      <c r="F10" s="3">
        <f t="shared" si="0"/>
        <v>12</v>
      </c>
      <c r="G10" s="3">
        <f t="shared" si="1"/>
        <v>0</v>
      </c>
    </row>
    <row r="11" spans="1:7" x14ac:dyDescent="0.25">
      <c r="A11" s="3">
        <v>10028159</v>
      </c>
      <c r="B11" s="3">
        <v>0.316</v>
      </c>
      <c r="C11" s="3">
        <v>17</v>
      </c>
      <c r="D11" s="3">
        <v>4.25</v>
      </c>
      <c r="E11" s="3">
        <f>+VLOOKUP(A11,'[1]Reporte Canjes Meals'!$A:$K,10,0)</f>
        <v>11</v>
      </c>
      <c r="F11" s="3">
        <f t="shared" si="0"/>
        <v>2.75</v>
      </c>
      <c r="G11" s="3">
        <f t="shared" si="1"/>
        <v>1.5</v>
      </c>
    </row>
    <row r="12" spans="1:7" x14ac:dyDescent="0.25">
      <c r="A12" s="3">
        <v>10028980</v>
      </c>
      <c r="B12" s="3">
        <v>0.39100000000000001</v>
      </c>
      <c r="C12" s="3">
        <v>21</v>
      </c>
      <c r="D12" s="3">
        <v>5.25</v>
      </c>
      <c r="E12" s="3">
        <f>+VLOOKUP(A12,'[1]Reporte Canjes Meals'!$A:$K,10,0)</f>
        <v>9</v>
      </c>
      <c r="F12" s="3">
        <f t="shared" si="0"/>
        <v>2.25</v>
      </c>
      <c r="G12" s="3">
        <f t="shared" si="1"/>
        <v>3</v>
      </c>
    </row>
    <row r="13" spans="1:7" x14ac:dyDescent="0.25">
      <c r="A13" s="3">
        <v>10032708</v>
      </c>
      <c r="B13" s="3">
        <v>0.33500000000000002</v>
      </c>
      <c r="C13" s="3">
        <v>18</v>
      </c>
      <c r="D13" s="3">
        <v>4.5</v>
      </c>
      <c r="E13" s="3">
        <f>+VLOOKUP(A13,'[1]Reporte Canjes Meals'!$A:$K,10,0)</f>
        <v>0</v>
      </c>
      <c r="F13" s="3">
        <f t="shared" si="0"/>
        <v>0</v>
      </c>
      <c r="G13" s="3">
        <f t="shared" si="1"/>
        <v>4.5</v>
      </c>
    </row>
    <row r="14" spans="1:7" x14ac:dyDescent="0.25">
      <c r="A14" s="3">
        <v>10034675</v>
      </c>
      <c r="B14" s="3">
        <v>3.6999999999999998E-2</v>
      </c>
      <c r="C14" s="3">
        <v>2</v>
      </c>
      <c r="D14" s="3">
        <v>0.5</v>
      </c>
      <c r="E14" s="3">
        <f>+VLOOKUP(A14,'[1]Reporte Canjes Meals'!$A:$K,10,0)</f>
        <v>2</v>
      </c>
      <c r="F14" s="3">
        <f t="shared" si="0"/>
        <v>0.5</v>
      </c>
      <c r="G14" s="3">
        <f t="shared" si="1"/>
        <v>0</v>
      </c>
    </row>
    <row r="15" spans="1:7" x14ac:dyDescent="0.25">
      <c r="A15" s="3">
        <v>10048769</v>
      </c>
      <c r="B15" s="3">
        <v>0.223</v>
      </c>
      <c r="C15" s="3">
        <v>12</v>
      </c>
      <c r="D15" s="3">
        <v>3</v>
      </c>
      <c r="E15" s="3">
        <f>+VLOOKUP(A15,'[1]Reporte Canjes Meals'!$A:$K,10,0)</f>
        <v>12</v>
      </c>
      <c r="F15" s="3">
        <f t="shared" si="0"/>
        <v>3</v>
      </c>
      <c r="G15" s="3">
        <f t="shared" si="1"/>
        <v>0</v>
      </c>
    </row>
    <row r="16" spans="1:7" x14ac:dyDescent="0.25">
      <c r="A16" s="3">
        <v>10054285</v>
      </c>
      <c r="B16" s="3">
        <v>5.6000000000000001E-2</v>
      </c>
      <c r="C16" s="3">
        <v>3</v>
      </c>
      <c r="D16" s="3">
        <v>0.75</v>
      </c>
      <c r="E16" s="3">
        <f>+VLOOKUP(A16,'[1]Reporte Canjes Meals'!$A:$K,10,0)</f>
        <v>0</v>
      </c>
      <c r="F16" s="3">
        <f t="shared" si="0"/>
        <v>0</v>
      </c>
      <c r="G16" s="3">
        <f t="shared" si="1"/>
        <v>0.75</v>
      </c>
    </row>
    <row r="17" spans="1:7" x14ac:dyDescent="0.25">
      <c r="A17" s="3">
        <v>10063669</v>
      </c>
      <c r="B17" s="3">
        <v>1.079</v>
      </c>
      <c r="C17" s="3">
        <v>58</v>
      </c>
      <c r="D17" s="3">
        <v>14.5</v>
      </c>
      <c r="E17" s="3">
        <f>+VLOOKUP(A17,'[1]Reporte Canjes Meals'!$A:$K,10,0)</f>
        <v>0</v>
      </c>
      <c r="F17" s="3">
        <f t="shared" si="0"/>
        <v>0</v>
      </c>
      <c r="G17" s="3">
        <f t="shared" si="1"/>
        <v>14.5</v>
      </c>
    </row>
    <row r="18" spans="1:7" x14ac:dyDescent="0.25">
      <c r="A18" s="3">
        <v>10065537</v>
      </c>
      <c r="B18" s="3">
        <v>0.186</v>
      </c>
      <c r="C18" s="3">
        <v>10</v>
      </c>
      <c r="D18" s="3">
        <v>2.5</v>
      </c>
      <c r="E18" s="3">
        <f>+VLOOKUP(A18,'[1]Reporte Canjes Meals'!$A:$K,10,0)</f>
        <v>0</v>
      </c>
      <c r="F18" s="3">
        <f t="shared" si="0"/>
        <v>0</v>
      </c>
      <c r="G18" s="3">
        <f t="shared" si="1"/>
        <v>2.5</v>
      </c>
    </row>
    <row r="19" spans="1:7" x14ac:dyDescent="0.25">
      <c r="A19" s="3">
        <v>10065596</v>
      </c>
      <c r="B19" s="3">
        <v>0.16800000000000001</v>
      </c>
      <c r="C19" s="3">
        <v>9</v>
      </c>
      <c r="D19" s="3">
        <v>2.25</v>
      </c>
      <c r="E19" s="3">
        <f>+VLOOKUP(A19,'[1]Reporte Canjes Meals'!$A:$K,10,0)</f>
        <v>0</v>
      </c>
      <c r="F19" s="3">
        <f t="shared" si="0"/>
        <v>0</v>
      </c>
      <c r="G19" s="3">
        <f t="shared" si="1"/>
        <v>2.25</v>
      </c>
    </row>
    <row r="20" spans="1:7" x14ac:dyDescent="0.25">
      <c r="A20" s="3">
        <v>10065597</v>
      </c>
      <c r="B20" s="3">
        <v>1.9E-2</v>
      </c>
      <c r="C20" s="3">
        <v>1</v>
      </c>
      <c r="D20" s="3">
        <v>0.25</v>
      </c>
      <c r="E20" s="3">
        <f>+VLOOKUP(A20,'[1]Reporte Canjes Meals'!$A:$K,10,0)</f>
        <v>0</v>
      </c>
      <c r="F20" s="3">
        <f t="shared" si="0"/>
        <v>0</v>
      </c>
      <c r="G20" s="3">
        <f t="shared" si="1"/>
        <v>0.25</v>
      </c>
    </row>
    <row r="21" spans="1:7" x14ac:dyDescent="0.25">
      <c r="A21" s="3">
        <v>10066651</v>
      </c>
      <c r="B21" s="3">
        <v>0.68899999999999995</v>
      </c>
      <c r="C21" s="3">
        <v>37</v>
      </c>
      <c r="D21" s="3">
        <v>9.25</v>
      </c>
      <c r="E21" s="3">
        <f>+VLOOKUP(A21,'[1]Reporte Canjes Meals'!$A:$K,10,0)</f>
        <v>16</v>
      </c>
      <c r="F21" s="3">
        <f t="shared" si="0"/>
        <v>4</v>
      </c>
      <c r="G21" s="3">
        <f t="shared" si="1"/>
        <v>5.25</v>
      </c>
    </row>
    <row r="22" spans="1:7" x14ac:dyDescent="0.25">
      <c r="A22" s="3">
        <v>10071934</v>
      </c>
      <c r="B22" s="3">
        <v>0.20499999999999999</v>
      </c>
      <c r="C22" s="3">
        <v>11</v>
      </c>
      <c r="D22" s="3">
        <v>2.75</v>
      </c>
      <c r="E22" s="3">
        <f>+VLOOKUP(A22,'[1]Reporte Canjes Meals'!$A:$K,10,0)</f>
        <v>5</v>
      </c>
      <c r="F22" s="3">
        <f t="shared" si="0"/>
        <v>1.25</v>
      </c>
      <c r="G22" s="3">
        <f t="shared" si="1"/>
        <v>1.5</v>
      </c>
    </row>
    <row r="23" spans="1:7" x14ac:dyDescent="0.25">
      <c r="A23" s="3">
        <v>10072015</v>
      </c>
      <c r="B23" s="3">
        <v>0.16700000000000001</v>
      </c>
      <c r="C23" s="3">
        <v>9</v>
      </c>
      <c r="D23" s="3">
        <v>2.25</v>
      </c>
      <c r="E23" s="3">
        <f>+VLOOKUP(A23,'[1]Reporte Canjes Meals'!$A:$K,10,0)</f>
        <v>0</v>
      </c>
      <c r="F23" s="3">
        <f t="shared" si="0"/>
        <v>0</v>
      </c>
      <c r="G23" s="3">
        <f t="shared" si="1"/>
        <v>2.25</v>
      </c>
    </row>
    <row r="24" spans="1:7" x14ac:dyDescent="0.25">
      <c r="A24" s="3">
        <v>10077684</v>
      </c>
      <c r="B24" s="3">
        <v>0.85699999999999998</v>
      </c>
      <c r="C24" s="3">
        <v>46</v>
      </c>
      <c r="D24" s="3">
        <v>11.5</v>
      </c>
      <c r="E24" s="3">
        <f>+VLOOKUP(A24,'[1]Reporte Canjes Meals'!$A:$K,10,0)</f>
        <v>40</v>
      </c>
      <c r="F24" s="3">
        <f t="shared" si="0"/>
        <v>10</v>
      </c>
      <c r="G24" s="3">
        <f t="shared" si="1"/>
        <v>1.5</v>
      </c>
    </row>
    <row r="25" spans="1:7" x14ac:dyDescent="0.25">
      <c r="A25" s="3">
        <v>10082119</v>
      </c>
      <c r="B25" s="3">
        <v>0.112</v>
      </c>
      <c r="C25" s="3">
        <v>6</v>
      </c>
      <c r="D25" s="3">
        <v>1.5</v>
      </c>
      <c r="E25" s="3">
        <f>+VLOOKUP(A25,'[1]Reporte Canjes Meals'!$A:$K,10,0)</f>
        <v>5</v>
      </c>
      <c r="F25" s="3">
        <f t="shared" si="0"/>
        <v>1.25</v>
      </c>
      <c r="G25" s="3">
        <f t="shared" si="1"/>
        <v>0.25</v>
      </c>
    </row>
    <row r="26" spans="1:7" x14ac:dyDescent="0.25">
      <c r="A26" s="3">
        <v>10085760</v>
      </c>
      <c r="B26" s="3">
        <v>0.55700000000000005</v>
      </c>
      <c r="C26" s="3">
        <v>30</v>
      </c>
      <c r="D26" s="3">
        <v>7.5</v>
      </c>
      <c r="E26" s="3">
        <f>+VLOOKUP(A26,'[1]Reporte Canjes Meals'!$A:$K,10,0)</f>
        <v>12</v>
      </c>
      <c r="F26" s="3">
        <f t="shared" si="0"/>
        <v>3</v>
      </c>
      <c r="G26" s="3">
        <f t="shared" si="1"/>
        <v>4.5</v>
      </c>
    </row>
    <row r="27" spans="1:7" x14ac:dyDescent="0.25">
      <c r="A27" s="3">
        <v>10096306</v>
      </c>
      <c r="B27" s="3">
        <v>3.6999999999999998E-2</v>
      </c>
      <c r="C27" s="3">
        <v>2</v>
      </c>
      <c r="D27" s="3">
        <v>0.5</v>
      </c>
      <c r="E27" s="3">
        <f>+VLOOKUP(A27,'[1]Reporte Canjes Meals'!$A:$K,10,0)</f>
        <v>2</v>
      </c>
      <c r="F27" s="3">
        <f t="shared" si="0"/>
        <v>0.5</v>
      </c>
      <c r="G27" s="3">
        <f t="shared" si="1"/>
        <v>0</v>
      </c>
    </row>
    <row r="28" spans="1:7" x14ac:dyDescent="0.25">
      <c r="A28" s="3">
        <v>10100899</v>
      </c>
      <c r="B28" s="3">
        <v>0.223</v>
      </c>
      <c r="C28" s="3">
        <v>12</v>
      </c>
      <c r="D28" s="3">
        <v>3</v>
      </c>
      <c r="E28" s="3">
        <f>+VLOOKUP(A28,'[1]Reporte Canjes Meals'!$A:$K,10,0)</f>
        <v>12</v>
      </c>
      <c r="F28" s="3">
        <f t="shared" si="0"/>
        <v>3</v>
      </c>
      <c r="G28" s="3">
        <f t="shared" si="1"/>
        <v>0</v>
      </c>
    </row>
    <row r="29" spans="1:7" x14ac:dyDescent="0.25">
      <c r="A29" s="3">
        <v>10104517</v>
      </c>
      <c r="B29" s="3">
        <v>0.186</v>
      </c>
      <c r="C29" s="3">
        <v>10</v>
      </c>
      <c r="D29" s="3">
        <v>2.5</v>
      </c>
      <c r="E29" s="3">
        <f>+VLOOKUP(A29,'[1]Reporte Canjes Meals'!$A:$K,10,0)</f>
        <v>10</v>
      </c>
      <c r="F29" s="3">
        <f t="shared" si="0"/>
        <v>2.5</v>
      </c>
      <c r="G29" s="3">
        <f t="shared" si="1"/>
        <v>0</v>
      </c>
    </row>
    <row r="30" spans="1:7" x14ac:dyDescent="0.25">
      <c r="A30" s="3">
        <v>10105553</v>
      </c>
      <c r="B30" s="3">
        <v>0.14799999999999999</v>
      </c>
      <c r="C30" s="3">
        <v>8</v>
      </c>
      <c r="D30" s="3">
        <v>2</v>
      </c>
      <c r="E30" s="3">
        <f>+VLOOKUP(A30,'[1]Reporte Canjes Meals'!$A:$K,10,0)</f>
        <v>8</v>
      </c>
      <c r="F30" s="3">
        <f t="shared" si="0"/>
        <v>2</v>
      </c>
      <c r="G30" s="3">
        <f t="shared" si="1"/>
        <v>0</v>
      </c>
    </row>
    <row r="31" spans="1:7" x14ac:dyDescent="0.25">
      <c r="A31" s="3">
        <v>10108293</v>
      </c>
      <c r="B31" s="3">
        <v>1.264</v>
      </c>
      <c r="C31" s="3">
        <v>68</v>
      </c>
      <c r="D31" s="3">
        <v>17</v>
      </c>
      <c r="E31" s="3">
        <f>+VLOOKUP(A31,'[1]Reporte Canjes Meals'!$A:$K,10,0)</f>
        <v>31</v>
      </c>
      <c r="F31" s="3">
        <f t="shared" si="0"/>
        <v>7.75</v>
      </c>
      <c r="G31" s="3">
        <f t="shared" si="1"/>
        <v>9.25</v>
      </c>
    </row>
    <row r="32" spans="1:7" x14ac:dyDescent="0.25">
      <c r="A32" s="3">
        <v>10109355</v>
      </c>
      <c r="B32" s="3">
        <v>0.223</v>
      </c>
      <c r="C32" s="3">
        <v>12</v>
      </c>
      <c r="D32" s="3">
        <v>3</v>
      </c>
      <c r="E32" s="3">
        <f>+VLOOKUP(A32,'[1]Reporte Canjes Meals'!$A:$K,10,0)</f>
        <v>0</v>
      </c>
      <c r="F32" s="3">
        <f t="shared" si="0"/>
        <v>0</v>
      </c>
      <c r="G32" s="3">
        <f t="shared" si="1"/>
        <v>3</v>
      </c>
    </row>
    <row r="33" spans="1:7" x14ac:dyDescent="0.25">
      <c r="A33" s="3">
        <v>10111633</v>
      </c>
      <c r="B33" s="3">
        <v>0.111</v>
      </c>
      <c r="C33" s="3">
        <v>6</v>
      </c>
      <c r="D33" s="3">
        <v>1.5</v>
      </c>
      <c r="E33" s="3">
        <f>+VLOOKUP(A33,'[1]Reporte Canjes Meals'!$A:$K,10,0)</f>
        <v>2</v>
      </c>
      <c r="F33" s="3">
        <f t="shared" si="0"/>
        <v>0.5</v>
      </c>
      <c r="G33" s="3">
        <f t="shared" si="1"/>
        <v>1</v>
      </c>
    </row>
    <row r="34" spans="1:7" x14ac:dyDescent="0.25">
      <c r="A34" s="3">
        <v>10125192</v>
      </c>
      <c r="B34" s="3">
        <v>0.72399999999999998</v>
      </c>
      <c r="C34" s="3">
        <v>39</v>
      </c>
      <c r="D34" s="3">
        <v>9.75</v>
      </c>
      <c r="E34" s="3">
        <f>+VLOOKUP(A34,'[1]Reporte Canjes Meals'!$A:$K,10,0)</f>
        <v>30</v>
      </c>
      <c r="F34" s="3">
        <f t="shared" si="0"/>
        <v>7.5</v>
      </c>
      <c r="G34" s="3">
        <f t="shared" si="1"/>
        <v>2.25</v>
      </c>
    </row>
    <row r="35" spans="1:7" x14ac:dyDescent="0.25">
      <c r="A35" s="3">
        <v>10136372</v>
      </c>
      <c r="B35" s="3">
        <v>1.0960000000000001</v>
      </c>
      <c r="C35" s="3">
        <v>59</v>
      </c>
      <c r="D35" s="3">
        <v>14.75</v>
      </c>
      <c r="E35" s="3">
        <f>+VLOOKUP(A35,'[1]Reporte Canjes Meals'!$A:$K,10,0)</f>
        <v>20</v>
      </c>
      <c r="F35" s="3">
        <f t="shared" si="0"/>
        <v>5</v>
      </c>
      <c r="G35" s="3">
        <f t="shared" si="1"/>
        <v>9.75</v>
      </c>
    </row>
    <row r="36" spans="1:7" x14ac:dyDescent="0.25">
      <c r="A36" s="3">
        <v>10137921</v>
      </c>
      <c r="B36" s="3">
        <v>0.112</v>
      </c>
      <c r="C36" s="3">
        <v>6</v>
      </c>
      <c r="D36" s="3">
        <v>1.5</v>
      </c>
      <c r="E36" s="3">
        <f>+VLOOKUP(A36,'[1]Reporte Canjes Meals'!$A:$K,10,0)</f>
        <v>0</v>
      </c>
      <c r="F36" s="3">
        <f t="shared" si="0"/>
        <v>0</v>
      </c>
      <c r="G36" s="3">
        <f t="shared" si="1"/>
        <v>1.5</v>
      </c>
    </row>
    <row r="37" spans="1:7" x14ac:dyDescent="0.25">
      <c r="A37" s="3">
        <v>10138424</v>
      </c>
      <c r="B37" s="3">
        <v>2.1000000000000001E-2</v>
      </c>
      <c r="C37" s="3">
        <v>1</v>
      </c>
      <c r="D37" s="3">
        <v>0.25</v>
      </c>
      <c r="E37" s="3">
        <f>+VLOOKUP(A37,'[1]Reporte Canjes Meals'!$A:$K,10,0)</f>
        <v>0</v>
      </c>
      <c r="F37" s="3">
        <f t="shared" si="0"/>
        <v>0</v>
      </c>
      <c r="G37" s="3">
        <f t="shared" si="1"/>
        <v>0.25</v>
      </c>
    </row>
    <row r="38" spans="1:7" x14ac:dyDescent="0.25">
      <c r="A38" s="3">
        <v>10138594</v>
      </c>
      <c r="B38" s="3">
        <v>1.9E-2</v>
      </c>
      <c r="C38" s="3">
        <v>1</v>
      </c>
      <c r="D38" s="3">
        <v>0.25</v>
      </c>
      <c r="E38" s="3">
        <f>+VLOOKUP(A38,'[1]Reporte Canjes Meals'!$A:$K,10,0)</f>
        <v>1</v>
      </c>
      <c r="F38" s="3">
        <f t="shared" si="0"/>
        <v>0.25</v>
      </c>
      <c r="G38" s="3">
        <f t="shared" si="1"/>
        <v>0</v>
      </c>
    </row>
    <row r="39" spans="1:7" x14ac:dyDescent="0.25">
      <c r="A39" s="3">
        <v>10139373</v>
      </c>
      <c r="B39" s="3">
        <v>1.9E-2</v>
      </c>
      <c r="C39" s="3">
        <v>1</v>
      </c>
      <c r="D39" s="3">
        <v>0.25</v>
      </c>
      <c r="E39" s="3">
        <f>+VLOOKUP(A39,'[1]Reporte Canjes Meals'!$A:$K,10,0)</f>
        <v>1</v>
      </c>
      <c r="F39" s="3">
        <f t="shared" si="0"/>
        <v>0.25</v>
      </c>
      <c r="G39" s="3">
        <f t="shared" si="1"/>
        <v>0</v>
      </c>
    </row>
    <row r="40" spans="1:7" x14ac:dyDescent="0.25">
      <c r="A40" s="3">
        <v>10140750</v>
      </c>
      <c r="B40" s="3">
        <v>0.14899999999999999</v>
      </c>
      <c r="C40" s="3">
        <v>8</v>
      </c>
      <c r="D40" s="3">
        <v>2</v>
      </c>
      <c r="E40" s="3">
        <f>+VLOOKUP(A40,'[1]Reporte Canjes Meals'!$A:$K,10,0)</f>
        <v>0</v>
      </c>
      <c r="F40" s="3">
        <f t="shared" si="0"/>
        <v>0</v>
      </c>
      <c r="G40" s="3">
        <f t="shared" si="1"/>
        <v>2</v>
      </c>
    </row>
    <row r="41" spans="1:7" x14ac:dyDescent="0.25">
      <c r="A41" s="3">
        <v>10142254</v>
      </c>
      <c r="B41" s="3">
        <v>0.186</v>
      </c>
      <c r="C41" s="3">
        <v>10</v>
      </c>
      <c r="D41" s="3">
        <v>2.5</v>
      </c>
      <c r="E41" s="3">
        <f>+VLOOKUP(A41,'[1]Reporte Canjes Meals'!$A:$K,10,0)</f>
        <v>0</v>
      </c>
      <c r="F41" s="3">
        <f t="shared" si="0"/>
        <v>0</v>
      </c>
      <c r="G41" s="3">
        <f t="shared" si="1"/>
        <v>2.5</v>
      </c>
    </row>
    <row r="42" spans="1:7" x14ac:dyDescent="0.25">
      <c r="A42" s="3">
        <v>10165236</v>
      </c>
      <c r="B42" s="3">
        <v>7.3999999999999996E-2</v>
      </c>
      <c r="C42" s="3">
        <v>4</v>
      </c>
      <c r="D42" s="3">
        <v>1</v>
      </c>
      <c r="E42" s="3">
        <f>+VLOOKUP(A42,'[1]Reporte Canjes Meals'!$A:$K,10,0)</f>
        <v>0</v>
      </c>
      <c r="F42" s="3">
        <f t="shared" si="0"/>
        <v>0</v>
      </c>
      <c r="G42" s="3">
        <f t="shared" si="1"/>
        <v>1</v>
      </c>
    </row>
    <row r="43" spans="1:7" x14ac:dyDescent="0.25">
      <c r="A43" s="3">
        <v>10165629</v>
      </c>
      <c r="B43" s="3">
        <v>0.14799999999999999</v>
      </c>
      <c r="C43" s="3">
        <v>8</v>
      </c>
      <c r="D43" s="3">
        <v>2</v>
      </c>
      <c r="E43" s="3">
        <f>+VLOOKUP(A43,'[1]Reporte Canjes Meals'!$A:$K,10,0)</f>
        <v>4</v>
      </c>
      <c r="F43" s="3">
        <f t="shared" si="0"/>
        <v>1</v>
      </c>
      <c r="G43" s="3">
        <f t="shared" si="1"/>
        <v>1</v>
      </c>
    </row>
    <row r="44" spans="1:7" x14ac:dyDescent="0.25">
      <c r="A44" s="3">
        <v>10166670</v>
      </c>
      <c r="B44" s="3">
        <v>1.9E-2</v>
      </c>
      <c r="C44" s="3">
        <v>1</v>
      </c>
      <c r="D44" s="3">
        <v>0.25</v>
      </c>
      <c r="E44" s="3">
        <f>+VLOOKUP(A44,'[1]Reporte Canjes Meals'!$A:$K,10,0)</f>
        <v>1</v>
      </c>
      <c r="F44" s="3">
        <f t="shared" si="0"/>
        <v>0.25</v>
      </c>
      <c r="G44" s="3">
        <f t="shared" si="1"/>
        <v>0</v>
      </c>
    </row>
    <row r="45" spans="1:7" x14ac:dyDescent="0.25">
      <c r="A45" s="3">
        <v>10167558</v>
      </c>
      <c r="B45" s="3">
        <v>1.9E-2</v>
      </c>
      <c r="C45" s="3">
        <v>1</v>
      </c>
      <c r="D45" s="3">
        <v>0.25</v>
      </c>
      <c r="E45" s="3">
        <f>+VLOOKUP(A45,'[1]Reporte Canjes Meals'!$A:$K,10,0)</f>
        <v>1</v>
      </c>
      <c r="F45" s="3">
        <f t="shared" si="0"/>
        <v>0.25</v>
      </c>
      <c r="G45" s="3">
        <f t="shared" si="1"/>
        <v>0</v>
      </c>
    </row>
    <row r="46" spans="1:7" x14ac:dyDescent="0.25">
      <c r="A46" s="3">
        <v>10168483</v>
      </c>
      <c r="B46" s="3">
        <v>1.9E-2</v>
      </c>
      <c r="C46" s="3">
        <v>1</v>
      </c>
      <c r="D46" s="3">
        <v>0.25</v>
      </c>
      <c r="E46" s="3">
        <f>+VLOOKUP(A46,'[1]Reporte Canjes Meals'!$A:$K,10,0)</f>
        <v>2</v>
      </c>
      <c r="F46" s="3">
        <f t="shared" si="0"/>
        <v>0.5</v>
      </c>
      <c r="G46" s="3">
        <f t="shared" si="1"/>
        <v>-0.25</v>
      </c>
    </row>
    <row r="47" spans="1:7" x14ac:dyDescent="0.25">
      <c r="A47" s="3">
        <v>10168536</v>
      </c>
      <c r="B47" s="3">
        <v>1.9E-2</v>
      </c>
      <c r="C47" s="3">
        <v>1</v>
      </c>
      <c r="D47" s="3">
        <v>0.25</v>
      </c>
      <c r="E47" s="3">
        <f>+VLOOKUP(A47,'[1]Reporte Canjes Meals'!$A:$K,10,0)</f>
        <v>1</v>
      </c>
      <c r="F47" s="3">
        <f t="shared" si="0"/>
        <v>0.25</v>
      </c>
      <c r="G47" s="3">
        <f t="shared" si="1"/>
        <v>0</v>
      </c>
    </row>
    <row r="48" spans="1:7" x14ac:dyDescent="0.25">
      <c r="A48" s="3">
        <v>10173401</v>
      </c>
      <c r="B48" s="3">
        <v>0.223</v>
      </c>
      <c r="C48" s="3">
        <v>12</v>
      </c>
      <c r="D48" s="3">
        <v>3</v>
      </c>
      <c r="E48" s="3">
        <f>+VLOOKUP(A48,'[1]Reporte Canjes Meals'!$A:$K,10,0)</f>
        <v>12</v>
      </c>
      <c r="F48" s="3">
        <f t="shared" si="0"/>
        <v>3</v>
      </c>
      <c r="G48" s="3">
        <f t="shared" si="1"/>
        <v>0</v>
      </c>
    </row>
    <row r="49" spans="1:7" x14ac:dyDescent="0.25">
      <c r="A49" s="3">
        <v>10173830</v>
      </c>
      <c r="B49" s="3">
        <v>1.9E-2</v>
      </c>
      <c r="C49" s="3">
        <v>1</v>
      </c>
      <c r="D49" s="3">
        <v>0.25</v>
      </c>
      <c r="E49" s="3">
        <f>+VLOOKUP(A49,'[1]Reporte Canjes Meals'!$A:$K,10,0)</f>
        <v>0</v>
      </c>
      <c r="F49" s="3">
        <f t="shared" si="0"/>
        <v>0</v>
      </c>
      <c r="G49" s="3">
        <f t="shared" si="1"/>
        <v>0.25</v>
      </c>
    </row>
    <row r="50" spans="1:7" x14ac:dyDescent="0.25">
      <c r="A50" s="3">
        <v>10175452</v>
      </c>
      <c r="B50" s="3">
        <v>0.13</v>
      </c>
      <c r="C50" s="3">
        <v>7</v>
      </c>
      <c r="D50" s="3">
        <v>1.75</v>
      </c>
      <c r="E50" s="3">
        <f>+VLOOKUP(A50,'[1]Reporte Canjes Meals'!$A:$K,10,0)</f>
        <v>12</v>
      </c>
      <c r="F50" s="3">
        <f t="shared" si="0"/>
        <v>3</v>
      </c>
      <c r="G50" s="3">
        <f t="shared" si="1"/>
        <v>-1.25</v>
      </c>
    </row>
    <row r="51" spans="1:7" x14ac:dyDescent="0.25">
      <c r="A51" s="3">
        <v>10176632</v>
      </c>
      <c r="B51" s="3">
        <v>0.52300000000000002</v>
      </c>
      <c r="C51" s="3">
        <v>28</v>
      </c>
      <c r="D51" s="3">
        <v>7</v>
      </c>
      <c r="E51" s="3">
        <f>+VLOOKUP(A51,'[1]Reporte Canjes Meals'!$A:$K,10,0)</f>
        <v>24</v>
      </c>
      <c r="F51" s="3">
        <f t="shared" si="0"/>
        <v>6</v>
      </c>
      <c r="G51" s="3">
        <f t="shared" si="1"/>
        <v>1</v>
      </c>
    </row>
    <row r="52" spans="1:7" x14ac:dyDescent="0.25">
      <c r="A52" s="3">
        <v>10177331</v>
      </c>
      <c r="B52" s="3">
        <v>0.16700000000000001</v>
      </c>
      <c r="C52" s="3">
        <v>9</v>
      </c>
      <c r="D52" s="3">
        <v>2.25</v>
      </c>
      <c r="E52" s="3">
        <f>+VLOOKUP(A52,'[1]Reporte Canjes Meals'!$A:$K,10,0)</f>
        <v>0</v>
      </c>
      <c r="F52" s="3">
        <f t="shared" si="0"/>
        <v>0</v>
      </c>
      <c r="G52" s="3">
        <f t="shared" si="1"/>
        <v>2.25</v>
      </c>
    </row>
    <row r="53" spans="1:7" x14ac:dyDescent="0.25">
      <c r="A53" s="3">
        <v>10182526</v>
      </c>
      <c r="B53" s="3">
        <v>0.13100000000000001</v>
      </c>
      <c r="C53" s="3">
        <v>7</v>
      </c>
      <c r="D53" s="3">
        <v>1.75</v>
      </c>
      <c r="E53" s="3">
        <f>+VLOOKUP(A53,'[1]Reporte Canjes Meals'!$A:$K,10,0)</f>
        <v>0</v>
      </c>
      <c r="F53" s="3">
        <f t="shared" si="0"/>
        <v>0</v>
      </c>
      <c r="G53" s="3">
        <f t="shared" si="1"/>
        <v>1.75</v>
      </c>
    </row>
    <row r="54" spans="1:7" x14ac:dyDescent="0.25">
      <c r="A54" s="3">
        <v>10188390</v>
      </c>
      <c r="B54" s="3">
        <v>0.29799999999999999</v>
      </c>
      <c r="C54" s="3">
        <v>16</v>
      </c>
      <c r="D54" s="3">
        <v>4</v>
      </c>
      <c r="E54" s="3">
        <f>+VLOOKUP(A54,'[1]Reporte Canjes Meals'!$A:$K,10,0)</f>
        <v>0</v>
      </c>
      <c r="F54" s="3">
        <f t="shared" si="0"/>
        <v>0</v>
      </c>
      <c r="G54" s="3">
        <f t="shared" si="1"/>
        <v>4</v>
      </c>
    </row>
    <row r="55" spans="1:7" x14ac:dyDescent="0.25">
      <c r="A55" s="3">
        <v>10188465</v>
      </c>
      <c r="B55" s="3">
        <v>5.6000000000000001E-2</v>
      </c>
      <c r="C55" s="3">
        <v>3</v>
      </c>
      <c r="D55" s="3">
        <v>0.75</v>
      </c>
      <c r="E55" s="3">
        <f>+VLOOKUP(A55,'[1]Reporte Canjes Meals'!$A:$K,10,0)</f>
        <v>0</v>
      </c>
      <c r="F55" s="3">
        <f t="shared" si="0"/>
        <v>0</v>
      </c>
      <c r="G55" s="3">
        <f t="shared" si="1"/>
        <v>0.75</v>
      </c>
    </row>
    <row r="56" spans="1:7" x14ac:dyDescent="0.25">
      <c r="A56" s="3">
        <v>10188874</v>
      </c>
      <c r="B56" s="3">
        <v>1.9E-2</v>
      </c>
      <c r="C56" s="3">
        <v>1</v>
      </c>
      <c r="D56" s="3">
        <v>0.25</v>
      </c>
      <c r="E56" s="3">
        <f>+VLOOKUP(A56,'[1]Reporte Canjes Meals'!$A:$K,10,0)</f>
        <v>1</v>
      </c>
      <c r="F56" s="3">
        <f t="shared" si="0"/>
        <v>0.25</v>
      </c>
      <c r="G56" s="3">
        <f t="shared" si="1"/>
        <v>0</v>
      </c>
    </row>
    <row r="57" spans="1:7" x14ac:dyDescent="0.25">
      <c r="A57" s="3">
        <v>10191429</v>
      </c>
      <c r="B57" s="3">
        <v>7.4999999999999997E-2</v>
      </c>
      <c r="C57" s="3">
        <v>4</v>
      </c>
      <c r="D57" s="3">
        <v>1</v>
      </c>
      <c r="E57" s="3">
        <f>+VLOOKUP(A57,'[1]Reporte Canjes Meals'!$A:$K,10,0)</f>
        <v>4</v>
      </c>
      <c r="F57" s="3">
        <f t="shared" si="0"/>
        <v>1</v>
      </c>
      <c r="G57" s="3">
        <f t="shared" si="1"/>
        <v>0</v>
      </c>
    </row>
    <row r="58" spans="1:7" x14ac:dyDescent="0.25">
      <c r="A58" s="3">
        <v>10205622</v>
      </c>
      <c r="B58" s="3">
        <v>1.9E-2</v>
      </c>
      <c r="C58" s="3">
        <v>1</v>
      </c>
      <c r="D58" s="3">
        <v>0.25</v>
      </c>
      <c r="E58" s="3">
        <f>+VLOOKUP(A58,'[1]Reporte Canjes Meals'!$A:$K,10,0)</f>
        <v>1</v>
      </c>
      <c r="F58" s="3">
        <f t="shared" si="0"/>
        <v>0.25</v>
      </c>
      <c r="G58" s="3">
        <f t="shared" si="1"/>
        <v>0</v>
      </c>
    </row>
    <row r="59" spans="1:7" x14ac:dyDescent="0.25">
      <c r="A59" s="3">
        <v>10206538</v>
      </c>
      <c r="B59" s="3">
        <v>3.6999999999999998E-2</v>
      </c>
      <c r="C59" s="3">
        <v>2</v>
      </c>
      <c r="D59" s="3">
        <v>0.5</v>
      </c>
      <c r="E59" s="3">
        <f>+VLOOKUP(A59,'[1]Reporte Canjes Meals'!$A:$K,10,0)</f>
        <v>0</v>
      </c>
      <c r="F59" s="3">
        <f t="shared" si="0"/>
        <v>0</v>
      </c>
      <c r="G59" s="3">
        <f t="shared" si="1"/>
        <v>0.5</v>
      </c>
    </row>
    <row r="60" spans="1:7" x14ac:dyDescent="0.25">
      <c r="A60" s="3">
        <v>10206926</v>
      </c>
      <c r="B60" s="3">
        <v>9.2999999999999999E-2</v>
      </c>
      <c r="C60" s="3">
        <v>5</v>
      </c>
      <c r="D60" s="3">
        <v>1.25</v>
      </c>
      <c r="E60" s="3">
        <f>+VLOOKUP(A60,'[1]Reporte Canjes Meals'!$A:$K,10,0)</f>
        <v>2</v>
      </c>
      <c r="F60" s="3">
        <f t="shared" si="0"/>
        <v>0.5</v>
      </c>
      <c r="G60" s="3">
        <f t="shared" si="1"/>
        <v>0.75</v>
      </c>
    </row>
    <row r="61" spans="1:7" x14ac:dyDescent="0.25">
      <c r="A61" s="3">
        <v>10211371</v>
      </c>
      <c r="B61" s="3">
        <v>1.9E-2</v>
      </c>
      <c r="C61" s="3">
        <v>1</v>
      </c>
      <c r="D61" s="3">
        <v>0.25</v>
      </c>
      <c r="E61" s="3">
        <f>+VLOOKUP(A61,'[1]Reporte Canjes Meals'!$A:$K,10,0)</f>
        <v>1</v>
      </c>
      <c r="F61" s="3">
        <f t="shared" si="0"/>
        <v>0.25</v>
      </c>
      <c r="G61" s="3">
        <f t="shared" si="1"/>
        <v>0</v>
      </c>
    </row>
    <row r="62" spans="1:7" x14ac:dyDescent="0.25">
      <c r="A62" s="3">
        <v>10211377</v>
      </c>
      <c r="B62" s="3">
        <v>0.111</v>
      </c>
      <c r="C62" s="3">
        <v>6</v>
      </c>
      <c r="D62" s="3">
        <v>1.5</v>
      </c>
      <c r="E62" s="3">
        <f>+VLOOKUP(A62,'[1]Reporte Canjes Meals'!$A:$K,10,0)</f>
        <v>4</v>
      </c>
      <c r="F62" s="3">
        <f t="shared" si="0"/>
        <v>1</v>
      </c>
      <c r="G62" s="3">
        <f t="shared" si="1"/>
        <v>0.5</v>
      </c>
    </row>
    <row r="63" spans="1:7" x14ac:dyDescent="0.25">
      <c r="A63" s="3">
        <v>10218431</v>
      </c>
      <c r="B63" s="3">
        <v>0.114</v>
      </c>
      <c r="C63" s="3">
        <v>6</v>
      </c>
      <c r="D63" s="3">
        <v>1.5</v>
      </c>
      <c r="E63" s="3">
        <f>+VLOOKUP(A63,'[1]Reporte Canjes Meals'!$A:$K,10,0)</f>
        <v>3</v>
      </c>
      <c r="F63" s="3">
        <f t="shared" si="0"/>
        <v>0.75</v>
      </c>
      <c r="G63" s="3">
        <f t="shared" si="1"/>
        <v>0.75</v>
      </c>
    </row>
    <row r="64" spans="1:7" x14ac:dyDescent="0.25">
      <c r="A64" s="3">
        <v>10226317</v>
      </c>
      <c r="B64" s="3">
        <v>1.9E-2</v>
      </c>
      <c r="C64" s="3">
        <v>1</v>
      </c>
      <c r="D64" s="3">
        <v>0.25</v>
      </c>
      <c r="E64" s="3">
        <f>+VLOOKUP(A64,'[1]Reporte Canjes Meals'!$A:$K,10,0)</f>
        <v>1</v>
      </c>
      <c r="F64" s="3">
        <f t="shared" si="0"/>
        <v>0.25</v>
      </c>
      <c r="G64" s="3">
        <f t="shared" si="1"/>
        <v>0</v>
      </c>
    </row>
    <row r="65" spans="1:7" x14ac:dyDescent="0.25">
      <c r="A65" s="3">
        <v>10226546</v>
      </c>
      <c r="B65" s="3">
        <v>0.14899999999999999</v>
      </c>
      <c r="C65" s="3">
        <v>8</v>
      </c>
      <c r="D65" s="3">
        <v>2</v>
      </c>
      <c r="E65" s="3">
        <f>+VLOOKUP(A65,'[1]Reporte Canjes Meals'!$A:$K,10,0)</f>
        <v>2</v>
      </c>
      <c r="F65" s="3">
        <f t="shared" si="0"/>
        <v>0.5</v>
      </c>
      <c r="G65" s="3">
        <f t="shared" si="1"/>
        <v>1.5</v>
      </c>
    </row>
    <row r="66" spans="1:7" x14ac:dyDescent="0.25">
      <c r="A66" s="3">
        <v>10230504</v>
      </c>
      <c r="B66" s="3">
        <v>9.2999999999999999E-2</v>
      </c>
      <c r="C66" s="3">
        <v>5</v>
      </c>
      <c r="D66" s="3">
        <v>1.25</v>
      </c>
      <c r="E66" s="3">
        <f>+VLOOKUP(A66,'[1]Reporte Canjes Meals'!$A:$K,10,0)</f>
        <v>1</v>
      </c>
      <c r="F66" s="3">
        <f t="shared" si="0"/>
        <v>0.25</v>
      </c>
      <c r="G66" s="3">
        <f t="shared" si="1"/>
        <v>1</v>
      </c>
    </row>
    <row r="67" spans="1:7" x14ac:dyDescent="0.25">
      <c r="A67" s="3">
        <v>10238868</v>
      </c>
      <c r="B67" s="3">
        <v>1.9E-2</v>
      </c>
      <c r="C67" s="3">
        <v>1</v>
      </c>
      <c r="D67" s="3">
        <v>0.25</v>
      </c>
      <c r="E67" s="3">
        <f>+VLOOKUP(A67,'[1]Reporte Canjes Meals'!$A:$K,10,0)</f>
        <v>0</v>
      </c>
      <c r="F67" s="3">
        <f t="shared" ref="F67:F130" si="2">+E67/4</f>
        <v>0</v>
      </c>
      <c r="G67" s="3">
        <f t="shared" ref="G67:G130" si="3">+D67-F67</f>
        <v>0.25</v>
      </c>
    </row>
    <row r="68" spans="1:7" x14ac:dyDescent="0.25">
      <c r="A68" s="3">
        <v>10239080</v>
      </c>
      <c r="B68" s="3">
        <v>9.2999999999999999E-2</v>
      </c>
      <c r="C68" s="3">
        <v>5</v>
      </c>
      <c r="D68" s="3">
        <v>1.25</v>
      </c>
      <c r="E68" s="3">
        <f>+VLOOKUP(A68,'[1]Reporte Canjes Meals'!$A:$K,10,0)</f>
        <v>0</v>
      </c>
      <c r="F68" s="3">
        <f t="shared" si="2"/>
        <v>0</v>
      </c>
      <c r="G68" s="3">
        <f t="shared" si="3"/>
        <v>1.25</v>
      </c>
    </row>
    <row r="69" spans="1:7" x14ac:dyDescent="0.25">
      <c r="A69" s="3">
        <v>10239389</v>
      </c>
      <c r="B69" s="3">
        <v>1.9E-2</v>
      </c>
      <c r="C69" s="3">
        <v>1</v>
      </c>
      <c r="D69" s="3">
        <v>0.25</v>
      </c>
      <c r="E69" s="3">
        <f>+VLOOKUP(A69,'[1]Reporte Canjes Meals'!$A:$K,10,0)</f>
        <v>0</v>
      </c>
      <c r="F69" s="3">
        <f t="shared" si="2"/>
        <v>0</v>
      </c>
      <c r="G69" s="3">
        <f t="shared" si="3"/>
        <v>0.25</v>
      </c>
    </row>
    <row r="70" spans="1:7" x14ac:dyDescent="0.25">
      <c r="A70" s="3">
        <v>10240990</v>
      </c>
      <c r="B70" s="3">
        <v>0.317</v>
      </c>
      <c r="C70" s="3">
        <v>17</v>
      </c>
      <c r="D70" s="3">
        <v>4.25</v>
      </c>
      <c r="E70" s="3">
        <f>+VLOOKUP(A70,'[1]Reporte Canjes Meals'!$A:$K,10,0)</f>
        <v>16</v>
      </c>
      <c r="F70" s="3">
        <f t="shared" si="2"/>
        <v>4</v>
      </c>
      <c r="G70" s="3">
        <f t="shared" si="3"/>
        <v>0.25</v>
      </c>
    </row>
    <row r="71" spans="1:7" x14ac:dyDescent="0.25">
      <c r="A71" s="3">
        <v>10247407</v>
      </c>
      <c r="B71" s="3">
        <v>0.112</v>
      </c>
      <c r="C71" s="3">
        <v>6</v>
      </c>
      <c r="D71" s="3">
        <v>1.5</v>
      </c>
      <c r="E71" s="3">
        <f>+VLOOKUP(A71,'[1]Reporte Canjes Meals'!$A:$K,10,0)</f>
        <v>0</v>
      </c>
      <c r="F71" s="3">
        <f t="shared" si="2"/>
        <v>0</v>
      </c>
      <c r="G71" s="3">
        <f t="shared" si="3"/>
        <v>1.5</v>
      </c>
    </row>
    <row r="72" spans="1:7" x14ac:dyDescent="0.25">
      <c r="A72" s="3">
        <v>10252166</v>
      </c>
      <c r="B72" s="3">
        <v>7.4999999999999997E-2</v>
      </c>
      <c r="C72" s="3">
        <v>4</v>
      </c>
      <c r="D72" s="3">
        <v>1</v>
      </c>
      <c r="E72" s="3">
        <f>+VLOOKUP(A72,'[1]Reporte Canjes Meals'!$A:$K,10,0)</f>
        <v>2</v>
      </c>
      <c r="F72" s="3">
        <f t="shared" si="2"/>
        <v>0.5</v>
      </c>
      <c r="G72" s="3">
        <f t="shared" si="3"/>
        <v>0.5</v>
      </c>
    </row>
    <row r="73" spans="1:7" x14ac:dyDescent="0.25">
      <c r="A73" s="3">
        <v>10257792</v>
      </c>
      <c r="B73" s="3">
        <v>0.26</v>
      </c>
      <c r="C73" s="3">
        <v>14</v>
      </c>
      <c r="D73" s="3">
        <v>3.5</v>
      </c>
      <c r="E73" s="3">
        <f>+VLOOKUP(A73,'[1]Reporte Canjes Meals'!$A:$K,10,0)</f>
        <v>12</v>
      </c>
      <c r="F73" s="3">
        <f t="shared" si="2"/>
        <v>3</v>
      </c>
      <c r="G73" s="3">
        <f t="shared" si="3"/>
        <v>0.5</v>
      </c>
    </row>
    <row r="74" spans="1:7" x14ac:dyDescent="0.25">
      <c r="A74" s="3">
        <v>10257925</v>
      </c>
      <c r="B74" s="3">
        <v>0.93300000000000005</v>
      </c>
      <c r="C74" s="3">
        <v>50</v>
      </c>
      <c r="D74" s="3">
        <v>12.5</v>
      </c>
      <c r="E74" s="3">
        <f>+VLOOKUP(A74,'[1]Reporte Canjes Meals'!$A:$K,10,0)</f>
        <v>20</v>
      </c>
      <c r="F74" s="3">
        <f t="shared" si="2"/>
        <v>5</v>
      </c>
      <c r="G74" s="3">
        <f t="shared" si="3"/>
        <v>7.5</v>
      </c>
    </row>
    <row r="75" spans="1:7" x14ac:dyDescent="0.25">
      <c r="A75" s="3">
        <v>10260768</v>
      </c>
      <c r="B75" s="3">
        <v>1.9E-2</v>
      </c>
      <c r="C75" s="3">
        <v>1</v>
      </c>
      <c r="D75" s="3">
        <v>0.25</v>
      </c>
      <c r="E75" s="3">
        <f>+VLOOKUP(A75,'[1]Reporte Canjes Meals'!$A:$K,10,0)</f>
        <v>1</v>
      </c>
      <c r="F75" s="3">
        <f t="shared" si="2"/>
        <v>0.25</v>
      </c>
      <c r="G75" s="3">
        <f t="shared" si="3"/>
        <v>0</v>
      </c>
    </row>
    <row r="76" spans="1:7" x14ac:dyDescent="0.25">
      <c r="A76" s="3">
        <v>10261862</v>
      </c>
      <c r="B76" s="3">
        <v>0.13100000000000001</v>
      </c>
      <c r="C76" s="3">
        <v>7</v>
      </c>
      <c r="D76" s="3">
        <v>1.75</v>
      </c>
      <c r="E76" s="3">
        <f>+VLOOKUP(A76,'[1]Reporte Canjes Meals'!$A:$K,10,0)</f>
        <v>0</v>
      </c>
      <c r="F76" s="3">
        <f t="shared" si="2"/>
        <v>0</v>
      </c>
      <c r="G76" s="3">
        <f t="shared" si="3"/>
        <v>1.75</v>
      </c>
    </row>
    <row r="77" spans="1:7" x14ac:dyDescent="0.25">
      <c r="A77" s="3">
        <v>10262055</v>
      </c>
      <c r="B77" s="3">
        <v>1.9E-2</v>
      </c>
      <c r="C77" s="3">
        <v>1</v>
      </c>
      <c r="D77" s="3">
        <v>0.25</v>
      </c>
      <c r="E77" s="3">
        <f>+VLOOKUP(A77,'[1]Reporte Canjes Meals'!$A:$K,10,0)</f>
        <v>1</v>
      </c>
      <c r="F77" s="3">
        <f t="shared" si="2"/>
        <v>0.25</v>
      </c>
      <c r="G77" s="3">
        <f t="shared" si="3"/>
        <v>0</v>
      </c>
    </row>
    <row r="78" spans="1:7" x14ac:dyDescent="0.25">
      <c r="A78" s="3">
        <v>10270418</v>
      </c>
      <c r="B78" s="3">
        <v>0.41</v>
      </c>
      <c r="C78" s="3">
        <v>22</v>
      </c>
      <c r="D78" s="3">
        <v>5.5</v>
      </c>
      <c r="E78" s="3">
        <f>+VLOOKUP(A78,'[1]Reporte Canjes Meals'!$A:$K,10,0)</f>
        <v>22</v>
      </c>
      <c r="F78" s="3">
        <f t="shared" si="2"/>
        <v>5.5</v>
      </c>
      <c r="G78" s="3">
        <f t="shared" si="3"/>
        <v>0</v>
      </c>
    </row>
    <row r="79" spans="1:7" x14ac:dyDescent="0.25">
      <c r="A79" s="3">
        <v>10278781</v>
      </c>
      <c r="B79" s="3">
        <v>0.20499999999999999</v>
      </c>
      <c r="C79" s="3">
        <v>11</v>
      </c>
      <c r="D79" s="3">
        <v>2.75</v>
      </c>
      <c r="E79" s="3">
        <f>+VLOOKUP(A79,'[1]Reporte Canjes Meals'!$A:$K,10,0)</f>
        <v>11</v>
      </c>
      <c r="F79" s="3">
        <f t="shared" si="2"/>
        <v>2.75</v>
      </c>
      <c r="G79" s="3">
        <f t="shared" si="3"/>
        <v>0</v>
      </c>
    </row>
    <row r="80" spans="1:7" x14ac:dyDescent="0.25">
      <c r="A80" s="3">
        <v>10472121</v>
      </c>
      <c r="B80" s="3">
        <v>0.33500000000000002</v>
      </c>
      <c r="C80" s="3">
        <v>18</v>
      </c>
      <c r="D80" s="3">
        <v>4.5</v>
      </c>
      <c r="E80" s="3">
        <f>+VLOOKUP(A80,'[1]Reporte Canjes Meals'!$A:$K,10,0)</f>
        <v>0</v>
      </c>
      <c r="F80" s="3">
        <f t="shared" si="2"/>
        <v>0</v>
      </c>
      <c r="G80" s="3">
        <f t="shared" si="3"/>
        <v>4.5</v>
      </c>
    </row>
    <row r="81" spans="1:7" x14ac:dyDescent="0.25">
      <c r="A81" s="3">
        <v>10474598</v>
      </c>
      <c r="B81" s="3">
        <v>0.26</v>
      </c>
      <c r="C81" s="3">
        <v>14</v>
      </c>
      <c r="D81" s="3">
        <v>3.5</v>
      </c>
      <c r="E81" s="3">
        <f>+VLOOKUP(A81,'[1]Reporte Canjes Meals'!$A:$K,10,0)</f>
        <v>14</v>
      </c>
      <c r="F81" s="3">
        <f t="shared" si="2"/>
        <v>3.5</v>
      </c>
      <c r="G81" s="3">
        <f t="shared" si="3"/>
        <v>0</v>
      </c>
    </row>
    <row r="82" spans="1:7" x14ac:dyDescent="0.25">
      <c r="A82" s="3">
        <v>10478552</v>
      </c>
      <c r="B82" s="3">
        <v>7.3999999999999996E-2</v>
      </c>
      <c r="C82" s="3">
        <v>4</v>
      </c>
      <c r="D82" s="3">
        <v>1</v>
      </c>
      <c r="E82" s="3">
        <f>+VLOOKUP(A82,'[1]Reporte Canjes Meals'!$A:$K,10,0)</f>
        <v>4</v>
      </c>
      <c r="F82" s="3">
        <f t="shared" si="2"/>
        <v>1</v>
      </c>
      <c r="G82" s="3">
        <f t="shared" si="3"/>
        <v>0</v>
      </c>
    </row>
    <row r="83" spans="1:7" x14ac:dyDescent="0.25">
      <c r="A83" s="3">
        <v>10511055</v>
      </c>
      <c r="B83" s="3">
        <v>0.55800000000000005</v>
      </c>
      <c r="C83" s="3">
        <v>30</v>
      </c>
      <c r="D83" s="3">
        <v>7.5</v>
      </c>
      <c r="E83" s="3">
        <f>+VLOOKUP(A83,'[1]Reporte Canjes Meals'!$A:$K,10,0)</f>
        <v>0</v>
      </c>
      <c r="F83" s="3">
        <f t="shared" si="2"/>
        <v>0</v>
      </c>
      <c r="G83" s="3">
        <f t="shared" si="3"/>
        <v>7.5</v>
      </c>
    </row>
    <row r="84" spans="1:7" x14ac:dyDescent="0.25">
      <c r="A84" s="3">
        <v>10641372</v>
      </c>
      <c r="B84" s="3">
        <v>0.112</v>
      </c>
      <c r="C84" s="3">
        <v>6</v>
      </c>
      <c r="D84" s="3">
        <v>1.5</v>
      </c>
      <c r="E84" s="3">
        <f>+VLOOKUP(A84,'[1]Reporte Canjes Meals'!$A:$K,10,0)</f>
        <v>0</v>
      </c>
      <c r="F84" s="3">
        <f t="shared" si="2"/>
        <v>0</v>
      </c>
      <c r="G84" s="3">
        <f t="shared" si="3"/>
        <v>1.5</v>
      </c>
    </row>
    <row r="85" spans="1:7" x14ac:dyDescent="0.25">
      <c r="A85" s="3">
        <v>10816405</v>
      </c>
      <c r="B85" s="3">
        <v>7.4999999999999997E-2</v>
      </c>
      <c r="C85" s="3">
        <v>4</v>
      </c>
      <c r="D85" s="3">
        <v>1</v>
      </c>
      <c r="E85" s="3">
        <f>+VLOOKUP(A85,'[1]Reporte Canjes Meals'!$A:$K,10,0)</f>
        <v>3</v>
      </c>
      <c r="F85" s="3">
        <f t="shared" si="2"/>
        <v>0.75</v>
      </c>
      <c r="G85" s="3">
        <f t="shared" si="3"/>
        <v>0.25</v>
      </c>
    </row>
    <row r="86" spans="1:7" x14ac:dyDescent="0.25">
      <c r="A86" s="3">
        <v>10835245</v>
      </c>
      <c r="B86" s="3">
        <v>1.9E-2</v>
      </c>
      <c r="C86" s="3">
        <v>1</v>
      </c>
      <c r="D86" s="3">
        <v>0.25</v>
      </c>
      <c r="E86" s="3">
        <f>+VLOOKUP(A86,'[1]Reporte Canjes Meals'!$A:$K,10,0)</f>
        <v>0</v>
      </c>
      <c r="F86" s="3">
        <f t="shared" si="2"/>
        <v>0</v>
      </c>
      <c r="G86" s="3">
        <f t="shared" si="3"/>
        <v>0.25</v>
      </c>
    </row>
    <row r="87" spans="1:7" x14ac:dyDescent="0.25">
      <c r="A87" s="3">
        <v>10880516</v>
      </c>
      <c r="B87" s="3">
        <v>0.27900000000000003</v>
      </c>
      <c r="C87" s="3">
        <v>15</v>
      </c>
      <c r="D87" s="3">
        <v>3.75</v>
      </c>
      <c r="E87" s="3">
        <f>+VLOOKUP(A87,'[1]Reporte Canjes Meals'!$A:$K,10,0)</f>
        <v>15</v>
      </c>
      <c r="F87" s="3">
        <f t="shared" si="2"/>
        <v>3.75</v>
      </c>
      <c r="G87" s="3">
        <f t="shared" si="3"/>
        <v>0</v>
      </c>
    </row>
    <row r="88" spans="1:7" x14ac:dyDescent="0.25">
      <c r="A88" s="3">
        <v>10880685</v>
      </c>
      <c r="B88" s="3">
        <v>0.33700000000000002</v>
      </c>
      <c r="C88" s="3">
        <v>18</v>
      </c>
      <c r="D88" s="3">
        <v>4.5</v>
      </c>
      <c r="E88" s="3">
        <f>+VLOOKUP(A88,'[1]Reporte Canjes Meals'!$A:$K,10,0)</f>
        <v>13</v>
      </c>
      <c r="F88" s="3">
        <f t="shared" si="2"/>
        <v>3.25</v>
      </c>
      <c r="G88" s="3">
        <f t="shared" si="3"/>
        <v>1.25</v>
      </c>
    </row>
    <row r="89" spans="1:7" x14ac:dyDescent="0.25">
      <c r="A89" s="3">
        <v>10927670</v>
      </c>
      <c r="B89" s="3">
        <v>1.9E-2</v>
      </c>
      <c r="C89" s="3">
        <v>1</v>
      </c>
      <c r="D89" s="3">
        <v>0.25</v>
      </c>
      <c r="E89" s="3">
        <f>+VLOOKUP(A89,'[1]Reporte Canjes Meals'!$A:$K,10,0)</f>
        <v>0</v>
      </c>
      <c r="F89" s="3">
        <f t="shared" si="2"/>
        <v>0</v>
      </c>
      <c r="G89" s="3">
        <f t="shared" si="3"/>
        <v>0.25</v>
      </c>
    </row>
    <row r="90" spans="1:7" x14ac:dyDescent="0.25">
      <c r="A90" s="3">
        <v>10970300</v>
      </c>
      <c r="B90" s="3">
        <v>0.187</v>
      </c>
      <c r="C90" s="3">
        <v>10</v>
      </c>
      <c r="D90" s="3">
        <v>2.5</v>
      </c>
      <c r="E90" s="3">
        <f>+VLOOKUP(A90,'[1]Reporte Canjes Meals'!$A:$K,10,0)</f>
        <v>0</v>
      </c>
      <c r="F90" s="3">
        <f t="shared" si="2"/>
        <v>0</v>
      </c>
      <c r="G90" s="3">
        <f t="shared" si="3"/>
        <v>2.5</v>
      </c>
    </row>
    <row r="91" spans="1:7" x14ac:dyDescent="0.25">
      <c r="A91" s="3">
        <v>10970549</v>
      </c>
      <c r="B91" s="3">
        <v>0.35299999999999998</v>
      </c>
      <c r="C91" s="3">
        <v>19</v>
      </c>
      <c r="D91" s="3">
        <v>4.75</v>
      </c>
      <c r="E91" s="3">
        <f>+VLOOKUP(A91,'[1]Reporte Canjes Meals'!$A:$K,10,0)</f>
        <v>13</v>
      </c>
      <c r="F91" s="3">
        <f t="shared" si="2"/>
        <v>3.25</v>
      </c>
      <c r="G91" s="3">
        <f t="shared" si="3"/>
        <v>1.5</v>
      </c>
    </row>
    <row r="92" spans="1:7" x14ac:dyDescent="0.25">
      <c r="A92" s="3">
        <v>10970818</v>
      </c>
      <c r="B92" s="3">
        <v>3.6999999999999998E-2</v>
      </c>
      <c r="C92" s="3">
        <v>2</v>
      </c>
      <c r="D92" s="3">
        <v>0.5</v>
      </c>
      <c r="E92" s="3">
        <f>+VLOOKUP(A92,'[1]Reporte Canjes Meals'!$A:$K,10,0)</f>
        <v>0</v>
      </c>
      <c r="F92" s="3">
        <f t="shared" si="2"/>
        <v>0</v>
      </c>
      <c r="G92" s="3">
        <f t="shared" si="3"/>
        <v>0.5</v>
      </c>
    </row>
    <row r="93" spans="1:7" x14ac:dyDescent="0.25">
      <c r="A93" s="3">
        <v>10974001</v>
      </c>
      <c r="B93" s="3">
        <v>0.223</v>
      </c>
      <c r="C93" s="3">
        <v>12</v>
      </c>
      <c r="D93" s="3">
        <v>3</v>
      </c>
      <c r="E93" s="3">
        <f>+VLOOKUP(A93,'[1]Reporte Canjes Meals'!$A:$K,10,0)</f>
        <v>0</v>
      </c>
      <c r="F93" s="3">
        <f t="shared" si="2"/>
        <v>0</v>
      </c>
      <c r="G93" s="3">
        <f t="shared" si="3"/>
        <v>3</v>
      </c>
    </row>
    <row r="94" spans="1:7" x14ac:dyDescent="0.25">
      <c r="A94" s="3">
        <v>10974609</v>
      </c>
      <c r="B94" s="3">
        <v>9.2999999999999999E-2</v>
      </c>
      <c r="C94" s="3">
        <v>5</v>
      </c>
      <c r="D94" s="3">
        <v>1.25</v>
      </c>
      <c r="E94" s="3">
        <f>+VLOOKUP(A94,'[1]Reporte Canjes Meals'!$A:$K,10,0)</f>
        <v>5</v>
      </c>
      <c r="F94" s="3">
        <f t="shared" si="2"/>
        <v>1.25</v>
      </c>
      <c r="G94" s="3">
        <f t="shared" si="3"/>
        <v>0</v>
      </c>
    </row>
    <row r="95" spans="1:7" x14ac:dyDescent="0.25">
      <c r="A95" s="3">
        <v>10975260</v>
      </c>
      <c r="B95" s="3">
        <v>1.9E-2</v>
      </c>
      <c r="C95" s="3">
        <v>1</v>
      </c>
      <c r="D95" s="3">
        <v>0.25</v>
      </c>
      <c r="E95" s="3">
        <f>+VLOOKUP(A95,'[1]Reporte Canjes Meals'!$A:$K,10,0)</f>
        <v>0</v>
      </c>
      <c r="F95" s="3">
        <f t="shared" si="2"/>
        <v>0</v>
      </c>
      <c r="G95" s="3">
        <f t="shared" si="3"/>
        <v>0.25</v>
      </c>
    </row>
    <row r="96" spans="1:7" x14ac:dyDescent="0.25">
      <c r="A96" s="3">
        <v>10986285</v>
      </c>
      <c r="B96" s="3">
        <v>0.26</v>
      </c>
      <c r="C96" s="3">
        <v>14</v>
      </c>
      <c r="D96" s="3">
        <v>3.5</v>
      </c>
      <c r="E96" s="3">
        <f>+VLOOKUP(A96,'[1]Reporte Canjes Meals'!$A:$K,10,0)</f>
        <v>4</v>
      </c>
      <c r="F96" s="3">
        <f t="shared" si="2"/>
        <v>1</v>
      </c>
      <c r="G96" s="3">
        <f t="shared" si="3"/>
        <v>2.5</v>
      </c>
    </row>
    <row r="97" spans="1:7" x14ac:dyDescent="0.25">
      <c r="A97" s="3">
        <v>10993699</v>
      </c>
      <c r="B97" s="3">
        <v>0.16800000000000001</v>
      </c>
      <c r="C97" s="3">
        <v>9</v>
      </c>
      <c r="D97" s="3">
        <v>2.25</v>
      </c>
      <c r="E97" s="3">
        <f>+VLOOKUP(A97,'[1]Reporte Canjes Meals'!$A:$K,10,0)</f>
        <v>0</v>
      </c>
      <c r="F97" s="3">
        <f t="shared" si="2"/>
        <v>0</v>
      </c>
      <c r="G97" s="3">
        <f t="shared" si="3"/>
        <v>2.25</v>
      </c>
    </row>
    <row r="98" spans="1:7" x14ac:dyDescent="0.25">
      <c r="A98" s="3">
        <v>10999672</v>
      </c>
      <c r="B98" s="3">
        <v>1.9E-2</v>
      </c>
      <c r="C98" s="3">
        <v>1</v>
      </c>
      <c r="D98" s="3">
        <v>0.25</v>
      </c>
      <c r="E98" s="3">
        <f>+VLOOKUP(A98,'[1]Reporte Canjes Meals'!$A:$K,10,0)</f>
        <v>1</v>
      </c>
      <c r="F98" s="3">
        <f t="shared" si="2"/>
        <v>0.25</v>
      </c>
      <c r="G98" s="3">
        <f t="shared" si="3"/>
        <v>0</v>
      </c>
    </row>
    <row r="99" spans="1:7" x14ac:dyDescent="0.25">
      <c r="A99" s="3">
        <v>11003562</v>
      </c>
      <c r="B99" s="3">
        <v>1.2649999999999999</v>
      </c>
      <c r="C99" s="3">
        <v>68</v>
      </c>
      <c r="D99" s="3">
        <v>17</v>
      </c>
      <c r="E99" s="3">
        <f>+VLOOKUP(A99,'[1]Reporte Canjes Meals'!$A:$K,10,0)</f>
        <v>104</v>
      </c>
      <c r="F99" s="3">
        <f t="shared" si="2"/>
        <v>26</v>
      </c>
      <c r="G99" s="3">
        <f t="shared" si="3"/>
        <v>-9</v>
      </c>
    </row>
    <row r="100" spans="1:7" x14ac:dyDescent="0.25">
      <c r="A100" s="3">
        <v>11007194</v>
      </c>
      <c r="B100" s="3">
        <v>1.9E-2</v>
      </c>
      <c r="C100" s="3">
        <v>1</v>
      </c>
      <c r="D100" s="3">
        <v>0.25</v>
      </c>
      <c r="E100" s="3">
        <f>+VLOOKUP(A100,'[1]Reporte Canjes Meals'!$A:$K,10,0)</f>
        <v>0</v>
      </c>
      <c r="F100" s="3">
        <f t="shared" si="2"/>
        <v>0</v>
      </c>
      <c r="G100" s="3">
        <f t="shared" si="3"/>
        <v>0.25</v>
      </c>
    </row>
    <row r="101" spans="1:7" x14ac:dyDescent="0.25">
      <c r="A101" s="3">
        <v>11038278</v>
      </c>
      <c r="B101" s="3">
        <v>7.3999999999999996E-2</v>
      </c>
      <c r="C101" s="3">
        <v>4</v>
      </c>
      <c r="D101" s="3">
        <v>1</v>
      </c>
      <c r="E101" s="3">
        <f>+VLOOKUP(A101,'[1]Reporte Canjes Meals'!$A:$K,10,0)</f>
        <v>4</v>
      </c>
      <c r="F101" s="3">
        <f t="shared" si="2"/>
        <v>1</v>
      </c>
      <c r="G101" s="3">
        <f t="shared" si="3"/>
        <v>0</v>
      </c>
    </row>
    <row r="102" spans="1:7" x14ac:dyDescent="0.25">
      <c r="A102" s="3">
        <v>11041264</v>
      </c>
      <c r="B102" s="3">
        <v>7.3999999999999996E-2</v>
      </c>
      <c r="C102" s="3">
        <v>4</v>
      </c>
      <c r="D102" s="3">
        <v>1</v>
      </c>
      <c r="E102" s="3">
        <f>+VLOOKUP(A102,'[1]Reporte Canjes Meals'!$A:$K,10,0)</f>
        <v>0</v>
      </c>
      <c r="F102" s="3">
        <f t="shared" si="2"/>
        <v>0</v>
      </c>
      <c r="G102" s="3">
        <f t="shared" si="3"/>
        <v>1</v>
      </c>
    </row>
    <row r="103" spans="1:7" x14ac:dyDescent="0.25">
      <c r="A103" s="3">
        <v>11057686</v>
      </c>
      <c r="B103" s="3">
        <v>0.44800000000000001</v>
      </c>
      <c r="C103" s="3">
        <v>24</v>
      </c>
      <c r="D103" s="3">
        <v>6</v>
      </c>
      <c r="E103" s="3">
        <f>+VLOOKUP(A103,'[1]Reporte Canjes Meals'!$A:$K,10,0)</f>
        <v>0</v>
      </c>
      <c r="F103" s="3">
        <f t="shared" si="2"/>
        <v>0</v>
      </c>
      <c r="G103" s="3">
        <f t="shared" si="3"/>
        <v>6</v>
      </c>
    </row>
    <row r="104" spans="1:7" x14ac:dyDescent="0.25">
      <c r="A104" s="3">
        <v>11058984</v>
      </c>
      <c r="B104" s="3">
        <v>1.9E-2</v>
      </c>
      <c r="C104" s="3">
        <v>1</v>
      </c>
      <c r="D104" s="3">
        <v>0.25</v>
      </c>
      <c r="E104" s="3">
        <f>+VLOOKUP(A104,'[1]Reporte Canjes Meals'!$A:$K,10,0)</f>
        <v>1</v>
      </c>
      <c r="F104" s="3">
        <f t="shared" si="2"/>
        <v>0.25</v>
      </c>
      <c r="G104" s="3">
        <f t="shared" si="3"/>
        <v>0</v>
      </c>
    </row>
    <row r="105" spans="1:7" x14ac:dyDescent="0.25">
      <c r="A105" s="3">
        <v>11059006</v>
      </c>
      <c r="B105" s="3">
        <v>0.20499999999999999</v>
      </c>
      <c r="C105" s="3">
        <v>11</v>
      </c>
      <c r="D105" s="3">
        <v>2.75</v>
      </c>
      <c r="E105" s="3">
        <f>+VLOOKUP(A105,'[1]Reporte Canjes Meals'!$A:$K,10,0)</f>
        <v>5</v>
      </c>
      <c r="F105" s="3">
        <f t="shared" si="2"/>
        <v>1.25</v>
      </c>
      <c r="G105" s="3">
        <f t="shared" si="3"/>
        <v>1.5</v>
      </c>
    </row>
    <row r="106" spans="1:7" x14ac:dyDescent="0.25">
      <c r="A106" s="3">
        <v>11061195</v>
      </c>
      <c r="B106" s="3">
        <v>7.3999999999999996E-2</v>
      </c>
      <c r="C106" s="3">
        <v>4</v>
      </c>
      <c r="D106" s="3">
        <v>1</v>
      </c>
      <c r="E106" s="3">
        <f>+VLOOKUP(A106,'[1]Reporte Canjes Meals'!$A:$K,10,0)</f>
        <v>4</v>
      </c>
      <c r="F106" s="3">
        <f t="shared" si="2"/>
        <v>1</v>
      </c>
      <c r="G106" s="3">
        <f t="shared" si="3"/>
        <v>0</v>
      </c>
    </row>
    <row r="107" spans="1:7" x14ac:dyDescent="0.25">
      <c r="A107" s="3">
        <v>11065632</v>
      </c>
      <c r="B107" s="3">
        <v>0.81899999999999995</v>
      </c>
      <c r="C107" s="3">
        <v>44</v>
      </c>
      <c r="D107" s="3">
        <v>11</v>
      </c>
      <c r="E107" s="3">
        <f>+VLOOKUP(A107,'[1]Reporte Canjes Meals'!$A:$K,10,0)</f>
        <v>0</v>
      </c>
      <c r="F107" s="3">
        <f t="shared" si="2"/>
        <v>0</v>
      </c>
      <c r="G107" s="3">
        <f t="shared" si="3"/>
        <v>11</v>
      </c>
    </row>
    <row r="108" spans="1:7" x14ac:dyDescent="0.25">
      <c r="A108" s="3">
        <v>11069782</v>
      </c>
      <c r="B108" s="3">
        <v>0.48499999999999999</v>
      </c>
      <c r="C108" s="3">
        <v>26</v>
      </c>
      <c r="D108" s="3">
        <v>6.5</v>
      </c>
      <c r="E108" s="3">
        <f>+VLOOKUP(A108,'[1]Reporte Canjes Meals'!$A:$K,10,0)</f>
        <v>14</v>
      </c>
      <c r="F108" s="3">
        <f t="shared" si="2"/>
        <v>3.5</v>
      </c>
      <c r="G108" s="3">
        <f t="shared" si="3"/>
        <v>3</v>
      </c>
    </row>
    <row r="109" spans="1:7" x14ac:dyDescent="0.25">
      <c r="A109" s="3">
        <v>11072225</v>
      </c>
      <c r="B109" s="3">
        <v>0.14899999999999999</v>
      </c>
      <c r="C109" s="3">
        <v>8</v>
      </c>
      <c r="D109" s="3">
        <v>2</v>
      </c>
      <c r="E109" s="3">
        <f>+VLOOKUP(A109,'[1]Reporte Canjes Meals'!$A:$K,10,0)</f>
        <v>8</v>
      </c>
      <c r="F109" s="3">
        <f t="shared" si="2"/>
        <v>2</v>
      </c>
      <c r="G109" s="3">
        <f t="shared" si="3"/>
        <v>0</v>
      </c>
    </row>
    <row r="110" spans="1:7" x14ac:dyDescent="0.25">
      <c r="A110" s="3">
        <v>11102296</v>
      </c>
      <c r="B110" s="3">
        <v>3.6999999999999998E-2</v>
      </c>
      <c r="C110" s="3">
        <v>2</v>
      </c>
      <c r="D110" s="3">
        <v>0.5</v>
      </c>
      <c r="E110" s="3">
        <f>+VLOOKUP(A110,'[1]Reporte Canjes Meals'!$A:$K,10,0)</f>
        <v>2</v>
      </c>
      <c r="F110" s="3">
        <f t="shared" si="2"/>
        <v>0.5</v>
      </c>
      <c r="G110" s="3">
        <f t="shared" si="3"/>
        <v>0</v>
      </c>
    </row>
    <row r="111" spans="1:7" x14ac:dyDescent="0.25">
      <c r="A111" s="3">
        <v>11112244</v>
      </c>
      <c r="B111" s="3">
        <v>0.44600000000000001</v>
      </c>
      <c r="C111" s="3">
        <v>24</v>
      </c>
      <c r="D111" s="3">
        <v>6</v>
      </c>
      <c r="E111" s="3">
        <f>+VLOOKUP(A111,'[1]Reporte Canjes Meals'!$A:$K,10,0)</f>
        <v>24</v>
      </c>
      <c r="F111" s="3">
        <f t="shared" si="2"/>
        <v>6</v>
      </c>
      <c r="G111" s="3">
        <f t="shared" si="3"/>
        <v>0</v>
      </c>
    </row>
    <row r="112" spans="1:7" x14ac:dyDescent="0.25">
      <c r="A112" s="3">
        <v>11119842</v>
      </c>
      <c r="B112" s="3">
        <v>0.223</v>
      </c>
      <c r="C112" s="3">
        <v>12</v>
      </c>
      <c r="D112" s="3">
        <v>3</v>
      </c>
      <c r="E112" s="3">
        <f>+VLOOKUP(A112,'[1]Reporte Canjes Meals'!$A:$K,10,0)</f>
        <v>0</v>
      </c>
      <c r="F112" s="3">
        <f t="shared" si="2"/>
        <v>0</v>
      </c>
      <c r="G112" s="3">
        <f t="shared" si="3"/>
        <v>3</v>
      </c>
    </row>
    <row r="113" spans="1:7" x14ac:dyDescent="0.25">
      <c r="A113" s="3">
        <v>11120767</v>
      </c>
      <c r="B113" s="3">
        <v>0.16700000000000001</v>
      </c>
      <c r="C113" s="3">
        <v>9</v>
      </c>
      <c r="D113" s="3">
        <v>2.25</v>
      </c>
      <c r="E113" s="3">
        <f>+VLOOKUP(A113,'[1]Reporte Canjes Meals'!$A:$K,10,0)</f>
        <v>0</v>
      </c>
      <c r="F113" s="3">
        <f t="shared" si="2"/>
        <v>0</v>
      </c>
      <c r="G113" s="3">
        <f t="shared" si="3"/>
        <v>2.25</v>
      </c>
    </row>
    <row r="114" spans="1:7" x14ac:dyDescent="0.25">
      <c r="A114" s="3">
        <v>11121718</v>
      </c>
      <c r="B114" s="3">
        <v>0.14899999999999999</v>
      </c>
      <c r="C114" s="3">
        <v>8</v>
      </c>
      <c r="D114" s="3">
        <v>2</v>
      </c>
      <c r="E114" s="3">
        <f>+VLOOKUP(A114,'[1]Reporte Canjes Meals'!$A:$K,10,0)</f>
        <v>18</v>
      </c>
      <c r="F114" s="3">
        <f t="shared" si="2"/>
        <v>4.5</v>
      </c>
      <c r="G114" s="3">
        <f t="shared" si="3"/>
        <v>-2.5</v>
      </c>
    </row>
    <row r="115" spans="1:7" x14ac:dyDescent="0.25">
      <c r="A115" s="3">
        <v>11129897</v>
      </c>
      <c r="B115" s="3">
        <v>0.46700000000000003</v>
      </c>
      <c r="C115" s="3">
        <v>25</v>
      </c>
      <c r="D115" s="3">
        <v>6.25</v>
      </c>
      <c r="E115" s="3">
        <f>+VLOOKUP(A115,'[1]Reporte Canjes Meals'!$A:$K,10,0)</f>
        <v>14</v>
      </c>
      <c r="F115" s="3">
        <f t="shared" si="2"/>
        <v>3.5</v>
      </c>
      <c r="G115" s="3">
        <f t="shared" si="3"/>
        <v>2.75</v>
      </c>
    </row>
    <row r="116" spans="1:7" x14ac:dyDescent="0.25">
      <c r="A116" s="3">
        <v>11134246</v>
      </c>
      <c r="B116" s="3">
        <v>0.40899999999999997</v>
      </c>
      <c r="C116" s="3">
        <v>22</v>
      </c>
      <c r="D116" s="3">
        <v>5.5</v>
      </c>
      <c r="E116" s="3">
        <f>+VLOOKUP(A116,'[1]Reporte Canjes Meals'!$A:$K,10,0)</f>
        <v>0</v>
      </c>
      <c r="F116" s="3">
        <f t="shared" si="2"/>
        <v>0</v>
      </c>
      <c r="G116" s="3">
        <f t="shared" si="3"/>
        <v>5.5</v>
      </c>
    </row>
    <row r="117" spans="1:7" x14ac:dyDescent="0.25">
      <c r="A117" s="3">
        <v>11140051</v>
      </c>
      <c r="B117" s="3">
        <v>9.2999999999999999E-2</v>
      </c>
      <c r="C117" s="3">
        <v>5</v>
      </c>
      <c r="D117" s="3">
        <v>1.25</v>
      </c>
      <c r="E117" s="3">
        <f>+VLOOKUP(A117,'[1]Reporte Canjes Meals'!$A:$K,10,0)</f>
        <v>4</v>
      </c>
      <c r="F117" s="3">
        <f t="shared" si="2"/>
        <v>1</v>
      </c>
      <c r="G117" s="3">
        <f t="shared" si="3"/>
        <v>0.25</v>
      </c>
    </row>
    <row r="118" spans="1:7" x14ac:dyDescent="0.25">
      <c r="A118" s="3">
        <v>11141474</v>
      </c>
      <c r="B118" s="3">
        <v>7.3999999999999996E-2</v>
      </c>
      <c r="C118" s="3">
        <v>4</v>
      </c>
      <c r="D118" s="3">
        <v>1</v>
      </c>
      <c r="E118" s="3">
        <f>+VLOOKUP(A118,'[1]Reporte Canjes Meals'!$A:$K,10,0)</f>
        <v>4</v>
      </c>
      <c r="F118" s="3">
        <f t="shared" si="2"/>
        <v>1</v>
      </c>
      <c r="G118" s="3">
        <f t="shared" si="3"/>
        <v>0</v>
      </c>
    </row>
    <row r="119" spans="1:7" x14ac:dyDescent="0.25">
      <c r="A119" s="3">
        <v>11146138</v>
      </c>
      <c r="B119" s="3">
        <v>1.9E-2</v>
      </c>
      <c r="C119" s="3">
        <v>1</v>
      </c>
      <c r="D119" s="3">
        <v>0.25</v>
      </c>
      <c r="E119" s="3">
        <f>+VLOOKUP(A119,'[1]Reporte Canjes Meals'!$A:$K,10,0)</f>
        <v>0</v>
      </c>
      <c r="F119" s="3">
        <f t="shared" si="2"/>
        <v>0</v>
      </c>
      <c r="G119" s="3">
        <f t="shared" si="3"/>
        <v>0.25</v>
      </c>
    </row>
    <row r="120" spans="1:7" x14ac:dyDescent="0.25">
      <c r="A120" s="3">
        <v>11154187</v>
      </c>
      <c r="B120" s="3">
        <v>0.502</v>
      </c>
      <c r="C120" s="3">
        <v>27</v>
      </c>
      <c r="D120" s="3">
        <v>6.75</v>
      </c>
      <c r="E120" s="3">
        <f>+VLOOKUP(A120,'[1]Reporte Canjes Meals'!$A:$K,10,0)</f>
        <v>0</v>
      </c>
      <c r="F120" s="3">
        <f t="shared" si="2"/>
        <v>0</v>
      </c>
      <c r="G120" s="3">
        <f t="shared" si="3"/>
        <v>6.75</v>
      </c>
    </row>
    <row r="121" spans="1:7" x14ac:dyDescent="0.25">
      <c r="A121" s="3">
        <v>11156567</v>
      </c>
      <c r="B121" s="3">
        <v>0.317</v>
      </c>
      <c r="C121" s="3">
        <v>17</v>
      </c>
      <c r="D121" s="3">
        <v>4.25</v>
      </c>
      <c r="E121" s="3">
        <f>+VLOOKUP(A121,'[1]Reporte Canjes Meals'!$A:$K,10,0)</f>
        <v>13</v>
      </c>
      <c r="F121" s="3">
        <f t="shared" si="2"/>
        <v>3.25</v>
      </c>
      <c r="G121" s="3">
        <f t="shared" si="3"/>
        <v>1</v>
      </c>
    </row>
    <row r="122" spans="1:7" x14ac:dyDescent="0.25">
      <c r="A122" s="3">
        <v>11177865</v>
      </c>
      <c r="B122" s="3">
        <v>3.7999999999999999E-2</v>
      </c>
      <c r="C122" s="3">
        <v>2</v>
      </c>
      <c r="D122" s="3">
        <v>0.5</v>
      </c>
      <c r="E122" s="3">
        <f>+VLOOKUP(A122,'[1]Reporte Canjes Meals'!$A:$K,10,0)</f>
        <v>2</v>
      </c>
      <c r="F122" s="3">
        <f t="shared" si="2"/>
        <v>0.5</v>
      </c>
      <c r="G122" s="3">
        <f t="shared" si="3"/>
        <v>0</v>
      </c>
    </row>
    <row r="123" spans="1:7" x14ac:dyDescent="0.25">
      <c r="A123" s="3">
        <v>11183444</v>
      </c>
      <c r="B123" s="3">
        <v>2.0830000000000002</v>
      </c>
      <c r="C123" s="3">
        <v>112</v>
      </c>
      <c r="D123" s="3">
        <v>28</v>
      </c>
      <c r="E123" s="3">
        <f>+VLOOKUP(A123,'[1]Reporte Canjes Meals'!$A:$K,10,0)</f>
        <v>36</v>
      </c>
      <c r="F123" s="3">
        <f t="shared" si="2"/>
        <v>9</v>
      </c>
      <c r="G123" s="3">
        <f t="shared" si="3"/>
        <v>19</v>
      </c>
    </row>
    <row r="124" spans="1:7" x14ac:dyDescent="0.25">
      <c r="A124" s="3">
        <v>11184136</v>
      </c>
      <c r="B124" s="3">
        <v>1.1160000000000001</v>
      </c>
      <c r="C124" s="3">
        <v>60</v>
      </c>
      <c r="D124" s="3">
        <v>15</v>
      </c>
      <c r="E124" s="3">
        <f>+VLOOKUP(A124,'[1]Reporte Canjes Meals'!$A:$K,10,0)</f>
        <v>0</v>
      </c>
      <c r="F124" s="3">
        <f t="shared" si="2"/>
        <v>0</v>
      </c>
      <c r="G124" s="3">
        <f t="shared" si="3"/>
        <v>15</v>
      </c>
    </row>
    <row r="125" spans="1:7" x14ac:dyDescent="0.25">
      <c r="A125" s="3">
        <v>11184372</v>
      </c>
      <c r="B125" s="3">
        <v>0.16700000000000001</v>
      </c>
      <c r="C125" s="3">
        <v>9</v>
      </c>
      <c r="D125" s="3">
        <v>2.25</v>
      </c>
      <c r="E125" s="3">
        <f>+VLOOKUP(A125,'[1]Reporte Canjes Meals'!$A:$K,10,0)</f>
        <v>0</v>
      </c>
      <c r="F125" s="3">
        <f t="shared" si="2"/>
        <v>0</v>
      </c>
      <c r="G125" s="3">
        <f t="shared" si="3"/>
        <v>2.25</v>
      </c>
    </row>
    <row r="126" spans="1:7" x14ac:dyDescent="0.25">
      <c r="A126" s="3">
        <v>11187084</v>
      </c>
      <c r="B126" s="3">
        <v>7.3999999999999996E-2</v>
      </c>
      <c r="C126" s="3">
        <v>4</v>
      </c>
      <c r="D126" s="3">
        <v>1</v>
      </c>
      <c r="E126" s="3">
        <f>+VLOOKUP(A126,'[1]Reporte Canjes Meals'!$A:$K,10,0)</f>
        <v>0</v>
      </c>
      <c r="F126" s="3">
        <f t="shared" si="2"/>
        <v>0</v>
      </c>
      <c r="G126" s="3">
        <f t="shared" si="3"/>
        <v>1</v>
      </c>
    </row>
    <row r="127" spans="1:7" x14ac:dyDescent="0.25">
      <c r="A127" s="3">
        <v>11195217</v>
      </c>
      <c r="B127" s="3">
        <v>0.14899999999999999</v>
      </c>
      <c r="C127" s="3">
        <v>8</v>
      </c>
      <c r="D127" s="3">
        <v>2</v>
      </c>
      <c r="E127" s="3">
        <f>+VLOOKUP(A127,'[1]Reporte Canjes Meals'!$A:$K,10,0)</f>
        <v>0</v>
      </c>
      <c r="F127" s="3">
        <f t="shared" si="2"/>
        <v>0</v>
      </c>
      <c r="G127" s="3">
        <f t="shared" si="3"/>
        <v>2</v>
      </c>
    </row>
    <row r="128" spans="1:7" x14ac:dyDescent="0.25">
      <c r="A128" s="3">
        <v>11203868</v>
      </c>
      <c r="B128" s="3">
        <v>5.6000000000000001E-2</v>
      </c>
      <c r="C128" s="3">
        <v>3</v>
      </c>
      <c r="D128" s="3">
        <v>0.75</v>
      </c>
      <c r="E128" s="3">
        <f>+VLOOKUP(A128,'[1]Reporte Canjes Meals'!$A:$K,10,0)</f>
        <v>0</v>
      </c>
      <c r="F128" s="3">
        <f t="shared" si="2"/>
        <v>0</v>
      </c>
      <c r="G128" s="3">
        <f t="shared" si="3"/>
        <v>0.75</v>
      </c>
    </row>
    <row r="129" spans="1:7" x14ac:dyDescent="0.25">
      <c r="A129" s="3">
        <v>11204110</v>
      </c>
      <c r="B129" s="3">
        <v>1.9E-2</v>
      </c>
      <c r="C129" s="3">
        <v>1</v>
      </c>
      <c r="D129" s="3">
        <v>0.25</v>
      </c>
      <c r="E129" s="3">
        <f>+VLOOKUP(A129,'[1]Reporte Canjes Meals'!$A:$K,10,0)</f>
        <v>1</v>
      </c>
      <c r="F129" s="3">
        <f t="shared" si="2"/>
        <v>0.25</v>
      </c>
      <c r="G129" s="3">
        <f t="shared" si="3"/>
        <v>0</v>
      </c>
    </row>
    <row r="130" spans="1:7" x14ac:dyDescent="0.25">
      <c r="A130" s="3">
        <v>11206731</v>
      </c>
      <c r="B130" s="3">
        <v>0.112</v>
      </c>
      <c r="C130" s="3">
        <v>6</v>
      </c>
      <c r="D130" s="3">
        <v>1.5</v>
      </c>
      <c r="E130" s="3">
        <f>+VLOOKUP(A130,'[1]Reporte Canjes Meals'!$A:$K,10,0)</f>
        <v>0</v>
      </c>
      <c r="F130" s="3">
        <f t="shared" si="2"/>
        <v>0</v>
      </c>
      <c r="G130" s="3">
        <f t="shared" si="3"/>
        <v>1.5</v>
      </c>
    </row>
    <row r="131" spans="1:7" x14ac:dyDescent="0.25">
      <c r="A131" s="3">
        <v>11210145</v>
      </c>
      <c r="B131" s="3">
        <v>0.13</v>
      </c>
      <c r="C131" s="3">
        <v>7</v>
      </c>
      <c r="D131" s="3">
        <v>1.75</v>
      </c>
      <c r="E131" s="3">
        <f>+VLOOKUP(A131,'[1]Reporte Canjes Meals'!$A:$K,10,0)</f>
        <v>7</v>
      </c>
      <c r="F131" s="3">
        <f t="shared" ref="F131:F194" si="4">+E131/4</f>
        <v>1.75</v>
      </c>
      <c r="G131" s="3">
        <f t="shared" ref="G131:G194" si="5">+D131-F131</f>
        <v>0</v>
      </c>
    </row>
    <row r="132" spans="1:7" x14ac:dyDescent="0.25">
      <c r="A132" s="3">
        <v>11211800</v>
      </c>
      <c r="B132" s="3">
        <v>9.2999999999999999E-2</v>
      </c>
      <c r="C132" s="3">
        <v>5</v>
      </c>
      <c r="D132" s="3">
        <v>1.25</v>
      </c>
      <c r="E132" s="3">
        <f>+VLOOKUP(A132,'[1]Reporte Canjes Meals'!$A:$K,10,0)</f>
        <v>3</v>
      </c>
      <c r="F132" s="3">
        <f t="shared" si="4"/>
        <v>0.75</v>
      </c>
      <c r="G132" s="3">
        <f t="shared" si="5"/>
        <v>0.5</v>
      </c>
    </row>
    <row r="133" spans="1:7" x14ac:dyDescent="0.25">
      <c r="A133" s="3">
        <v>11232431</v>
      </c>
      <c r="B133" s="3">
        <v>0.186</v>
      </c>
      <c r="C133" s="3">
        <v>10</v>
      </c>
      <c r="D133" s="3">
        <v>2.5</v>
      </c>
      <c r="E133" s="3">
        <f>+VLOOKUP(A133,'[1]Reporte Canjes Meals'!$A:$K,10,0)</f>
        <v>10</v>
      </c>
      <c r="F133" s="3">
        <f t="shared" si="4"/>
        <v>2.5</v>
      </c>
      <c r="G133" s="3">
        <f t="shared" si="5"/>
        <v>0</v>
      </c>
    </row>
    <row r="134" spans="1:7" x14ac:dyDescent="0.25">
      <c r="A134" s="3">
        <v>11250455</v>
      </c>
      <c r="B134" s="3">
        <v>0.66900000000000004</v>
      </c>
      <c r="C134" s="3">
        <v>36</v>
      </c>
      <c r="D134" s="3">
        <v>9</v>
      </c>
      <c r="E134" s="3">
        <f>+VLOOKUP(A134,'[1]Reporte Canjes Meals'!$A:$K,10,0)</f>
        <v>0</v>
      </c>
      <c r="F134" s="3">
        <f t="shared" si="4"/>
        <v>0</v>
      </c>
      <c r="G134" s="3">
        <f t="shared" si="5"/>
        <v>9</v>
      </c>
    </row>
    <row r="135" spans="1:7" x14ac:dyDescent="0.25">
      <c r="A135" s="3">
        <v>11252215</v>
      </c>
      <c r="B135" s="3">
        <v>3.6999999999999998E-2</v>
      </c>
      <c r="C135" s="3">
        <v>2</v>
      </c>
      <c r="D135" s="3">
        <v>0.5</v>
      </c>
      <c r="E135" s="3">
        <f>+VLOOKUP(A135,'[1]Reporte Canjes Meals'!$A:$K,10,0)</f>
        <v>0</v>
      </c>
      <c r="F135" s="3">
        <f t="shared" si="4"/>
        <v>0</v>
      </c>
      <c r="G135" s="3">
        <f t="shared" si="5"/>
        <v>0.5</v>
      </c>
    </row>
    <row r="136" spans="1:7" x14ac:dyDescent="0.25">
      <c r="A136" s="3">
        <v>11262038</v>
      </c>
      <c r="B136" s="3">
        <v>9.2999999999999999E-2</v>
      </c>
      <c r="C136" s="3">
        <v>5</v>
      </c>
      <c r="D136" s="3">
        <v>1.25</v>
      </c>
      <c r="E136" s="3">
        <f>+VLOOKUP(A136,'[1]Reporte Canjes Meals'!$A:$K,10,0)</f>
        <v>4</v>
      </c>
      <c r="F136" s="3">
        <f t="shared" si="4"/>
        <v>1</v>
      </c>
      <c r="G136" s="3">
        <f t="shared" si="5"/>
        <v>0.25</v>
      </c>
    </row>
    <row r="137" spans="1:7" x14ac:dyDescent="0.25">
      <c r="A137" s="3">
        <v>11264369</v>
      </c>
      <c r="B137" s="3">
        <v>0.24099999999999999</v>
      </c>
      <c r="C137" s="3">
        <v>13</v>
      </c>
      <c r="D137" s="3">
        <v>3.25</v>
      </c>
      <c r="E137" s="3">
        <f>+VLOOKUP(A137,'[1]Reporte Canjes Meals'!$A:$K,10,0)</f>
        <v>4</v>
      </c>
      <c r="F137" s="3">
        <f t="shared" si="4"/>
        <v>1</v>
      </c>
      <c r="G137" s="3">
        <f t="shared" si="5"/>
        <v>2.25</v>
      </c>
    </row>
    <row r="138" spans="1:7" x14ac:dyDescent="0.25">
      <c r="A138" s="3">
        <v>11305748</v>
      </c>
      <c r="B138" s="3">
        <v>1.9E-2</v>
      </c>
      <c r="C138" s="3">
        <v>1</v>
      </c>
      <c r="D138" s="3">
        <v>0.25</v>
      </c>
      <c r="E138" s="3">
        <f>+VLOOKUP(A138,'[1]Reporte Canjes Meals'!$A:$K,10,0)</f>
        <v>1</v>
      </c>
      <c r="F138" s="3">
        <f t="shared" si="4"/>
        <v>0.25</v>
      </c>
      <c r="G138" s="3">
        <f t="shared" si="5"/>
        <v>0</v>
      </c>
    </row>
    <row r="139" spans="1:7" x14ac:dyDescent="0.25">
      <c r="A139" s="3">
        <v>11311718</v>
      </c>
      <c r="B139" s="3">
        <v>0.127</v>
      </c>
      <c r="C139" s="3">
        <v>6.8333329999999997</v>
      </c>
      <c r="D139" s="3">
        <v>1.7083332499999999</v>
      </c>
      <c r="E139" s="3">
        <f>+VLOOKUP(A139,'[1]Reporte Canjes Meals'!$A:$K,10,0)</f>
        <v>8</v>
      </c>
      <c r="F139" s="3">
        <f t="shared" si="4"/>
        <v>2</v>
      </c>
      <c r="G139" s="3">
        <f t="shared" si="5"/>
        <v>-0.29166675000000009</v>
      </c>
    </row>
    <row r="140" spans="1:7" x14ac:dyDescent="0.25">
      <c r="A140" s="3">
        <v>11311728</v>
      </c>
      <c r="B140" s="3">
        <v>0.68799999999999994</v>
      </c>
      <c r="C140" s="3">
        <v>37</v>
      </c>
      <c r="D140" s="3">
        <v>9.25</v>
      </c>
      <c r="E140" s="3">
        <f>+VLOOKUP(A140,'[1]Reporte Canjes Meals'!$A:$K,10,0)</f>
        <v>37</v>
      </c>
      <c r="F140" s="3">
        <f t="shared" si="4"/>
        <v>9.25</v>
      </c>
      <c r="G140" s="3">
        <f t="shared" si="5"/>
        <v>0</v>
      </c>
    </row>
    <row r="141" spans="1:7" x14ac:dyDescent="0.25">
      <c r="A141" s="3">
        <v>11313853</v>
      </c>
      <c r="B141" s="3">
        <v>0.112</v>
      </c>
      <c r="C141" s="3">
        <v>6</v>
      </c>
      <c r="D141" s="3">
        <v>1.5</v>
      </c>
      <c r="E141" s="3">
        <f>+VLOOKUP(A141,'[1]Reporte Canjes Meals'!$A:$K,10,0)</f>
        <v>6</v>
      </c>
      <c r="F141" s="3">
        <f t="shared" si="4"/>
        <v>1.5</v>
      </c>
      <c r="G141" s="3">
        <f t="shared" si="5"/>
        <v>0</v>
      </c>
    </row>
    <row r="142" spans="1:7" x14ac:dyDescent="0.25">
      <c r="A142" s="3">
        <v>11328768</v>
      </c>
      <c r="B142" s="3">
        <v>7.3999999999999996E-2</v>
      </c>
      <c r="C142" s="3">
        <v>4</v>
      </c>
      <c r="D142" s="3">
        <v>1</v>
      </c>
      <c r="E142" s="3">
        <f>+VLOOKUP(A142,'[1]Reporte Canjes Meals'!$A:$K,10,0)</f>
        <v>4</v>
      </c>
      <c r="F142" s="3">
        <f t="shared" si="4"/>
        <v>1</v>
      </c>
      <c r="G142" s="3">
        <f t="shared" si="5"/>
        <v>0</v>
      </c>
    </row>
    <row r="143" spans="1:7" x14ac:dyDescent="0.25">
      <c r="A143" s="3">
        <v>11329815</v>
      </c>
      <c r="B143" s="3">
        <v>0.14899999999999999</v>
      </c>
      <c r="C143" s="3">
        <v>8</v>
      </c>
      <c r="D143" s="3">
        <v>2</v>
      </c>
      <c r="E143" s="3">
        <f>+VLOOKUP(A143,'[1]Reporte Canjes Meals'!$A:$K,10,0)</f>
        <v>8</v>
      </c>
      <c r="F143" s="3">
        <f t="shared" si="4"/>
        <v>2</v>
      </c>
      <c r="G143" s="3">
        <f t="shared" si="5"/>
        <v>0</v>
      </c>
    </row>
    <row r="144" spans="1:7" x14ac:dyDescent="0.25">
      <c r="A144" s="3">
        <v>11335526</v>
      </c>
      <c r="B144" s="3">
        <v>1.9E-2</v>
      </c>
      <c r="C144" s="3">
        <v>1</v>
      </c>
      <c r="D144" s="3">
        <v>0.25</v>
      </c>
      <c r="E144" s="3">
        <f>+VLOOKUP(A144,'[1]Reporte Canjes Meals'!$A:$K,10,0)</f>
        <v>0</v>
      </c>
      <c r="F144" s="3">
        <f t="shared" si="4"/>
        <v>0</v>
      </c>
      <c r="G144" s="3">
        <f t="shared" si="5"/>
        <v>0.25</v>
      </c>
    </row>
    <row r="145" spans="1:7" x14ac:dyDescent="0.25">
      <c r="A145" s="3">
        <v>11341087</v>
      </c>
      <c r="B145" s="3">
        <v>0.20799999999999999</v>
      </c>
      <c r="C145" s="3">
        <v>11</v>
      </c>
      <c r="D145" s="3">
        <v>2.75</v>
      </c>
      <c r="E145" s="3">
        <f>+VLOOKUP(A145,'[1]Reporte Canjes Meals'!$A:$K,10,0)</f>
        <v>4</v>
      </c>
      <c r="F145" s="3">
        <f t="shared" si="4"/>
        <v>1</v>
      </c>
      <c r="G145" s="3">
        <f t="shared" si="5"/>
        <v>1.75</v>
      </c>
    </row>
    <row r="146" spans="1:7" x14ac:dyDescent="0.25">
      <c r="A146" s="3">
        <v>11368816</v>
      </c>
      <c r="B146" s="3">
        <v>1.9E-2</v>
      </c>
      <c r="C146" s="3">
        <v>1</v>
      </c>
      <c r="D146" s="3">
        <v>0.25</v>
      </c>
      <c r="E146" s="3">
        <f>+VLOOKUP(A146,'[1]Reporte Canjes Meals'!$A:$K,10,0)</f>
        <v>1</v>
      </c>
      <c r="F146" s="3">
        <f t="shared" si="4"/>
        <v>0.25</v>
      </c>
      <c r="G146" s="3">
        <f t="shared" si="5"/>
        <v>0</v>
      </c>
    </row>
    <row r="147" spans="1:7" x14ac:dyDescent="0.25">
      <c r="A147" s="3">
        <v>11369855</v>
      </c>
      <c r="B147" s="3">
        <v>7.4999999999999997E-2</v>
      </c>
      <c r="C147" s="3">
        <v>4</v>
      </c>
      <c r="D147" s="3">
        <v>1</v>
      </c>
      <c r="E147" s="3">
        <f>+VLOOKUP(A147,'[1]Reporte Canjes Meals'!$A:$K,10,0)</f>
        <v>3</v>
      </c>
      <c r="F147" s="3">
        <f t="shared" si="4"/>
        <v>0.75</v>
      </c>
      <c r="G147" s="3">
        <f t="shared" si="5"/>
        <v>0.25</v>
      </c>
    </row>
    <row r="148" spans="1:7" x14ac:dyDescent="0.25">
      <c r="A148" s="3">
        <v>11379257</v>
      </c>
      <c r="B148" s="3">
        <v>7.4999999999999997E-2</v>
      </c>
      <c r="C148" s="3">
        <v>4</v>
      </c>
      <c r="D148" s="3">
        <v>1</v>
      </c>
      <c r="E148" s="3">
        <f>+VLOOKUP(A148,'[1]Reporte Canjes Meals'!$A:$K,10,0)</f>
        <v>1</v>
      </c>
      <c r="F148" s="3">
        <f t="shared" si="4"/>
        <v>0.25</v>
      </c>
      <c r="G148" s="3">
        <f t="shared" si="5"/>
        <v>0.75</v>
      </c>
    </row>
    <row r="149" spans="1:7" x14ac:dyDescent="0.25">
      <c r="A149" s="3">
        <v>11395825</v>
      </c>
      <c r="B149" s="3">
        <v>0.111</v>
      </c>
      <c r="C149" s="3">
        <v>6</v>
      </c>
      <c r="D149" s="3">
        <v>1.5</v>
      </c>
      <c r="E149" s="3">
        <f>+VLOOKUP(A149,'[1]Reporte Canjes Meals'!$A:$K,10,0)</f>
        <v>2</v>
      </c>
      <c r="F149" s="3">
        <f t="shared" si="4"/>
        <v>0.5</v>
      </c>
      <c r="G149" s="3">
        <f t="shared" si="5"/>
        <v>1</v>
      </c>
    </row>
    <row r="150" spans="1:7" x14ac:dyDescent="0.25">
      <c r="A150" s="3">
        <v>11411209</v>
      </c>
      <c r="B150" s="3">
        <v>0.223</v>
      </c>
      <c r="C150" s="3">
        <v>12</v>
      </c>
      <c r="D150" s="3">
        <v>3</v>
      </c>
      <c r="E150" s="3">
        <f>+VLOOKUP(A150,'[1]Reporte Canjes Meals'!$A:$K,10,0)</f>
        <v>0</v>
      </c>
      <c r="F150" s="3">
        <f t="shared" si="4"/>
        <v>0</v>
      </c>
      <c r="G150" s="3">
        <f t="shared" si="5"/>
        <v>3</v>
      </c>
    </row>
    <row r="151" spans="1:7" x14ac:dyDescent="0.25">
      <c r="A151" s="3">
        <v>11422752</v>
      </c>
      <c r="B151" s="3">
        <v>0.112</v>
      </c>
      <c r="C151" s="3">
        <v>6</v>
      </c>
      <c r="D151" s="3">
        <v>1.5</v>
      </c>
      <c r="E151" s="3">
        <f>+VLOOKUP(A151,'[1]Reporte Canjes Meals'!$A:$K,10,0)</f>
        <v>0</v>
      </c>
      <c r="F151" s="3">
        <f t="shared" si="4"/>
        <v>0</v>
      </c>
      <c r="G151" s="3">
        <f t="shared" si="5"/>
        <v>1.5</v>
      </c>
    </row>
    <row r="152" spans="1:7" x14ac:dyDescent="0.25">
      <c r="A152" s="3">
        <v>11422755</v>
      </c>
      <c r="B152" s="3">
        <v>0.33500000000000002</v>
      </c>
      <c r="C152" s="3">
        <v>18</v>
      </c>
      <c r="D152" s="3">
        <v>4.5</v>
      </c>
      <c r="E152" s="3">
        <f>+VLOOKUP(A152,'[1]Reporte Canjes Meals'!$A:$K,10,0)</f>
        <v>0</v>
      </c>
      <c r="F152" s="3">
        <f t="shared" si="4"/>
        <v>0</v>
      </c>
      <c r="G152" s="3">
        <f t="shared" si="5"/>
        <v>4.5</v>
      </c>
    </row>
    <row r="153" spans="1:7" x14ac:dyDescent="0.25">
      <c r="A153" s="3">
        <v>11436453</v>
      </c>
      <c r="B153" s="3">
        <v>0.14799999999999999</v>
      </c>
      <c r="C153" s="3">
        <v>8</v>
      </c>
      <c r="D153" s="3">
        <v>2</v>
      </c>
      <c r="E153" s="3">
        <f>+VLOOKUP(A153,'[1]Reporte Canjes Meals'!$A:$K,10,0)</f>
        <v>8</v>
      </c>
      <c r="F153" s="3">
        <f t="shared" si="4"/>
        <v>2</v>
      </c>
      <c r="G153" s="3">
        <f t="shared" si="5"/>
        <v>0</v>
      </c>
    </row>
    <row r="154" spans="1:7" x14ac:dyDescent="0.25">
      <c r="A154" s="3">
        <v>11437870</v>
      </c>
      <c r="B154" s="3">
        <v>7.3999999999999996E-2</v>
      </c>
      <c r="C154" s="3">
        <v>4</v>
      </c>
      <c r="D154" s="3">
        <v>1</v>
      </c>
      <c r="E154" s="3">
        <f>+VLOOKUP(A154,'[1]Reporte Canjes Meals'!$A:$K,10,0)</f>
        <v>0</v>
      </c>
      <c r="F154" s="3">
        <f t="shared" si="4"/>
        <v>0</v>
      </c>
      <c r="G154" s="3">
        <f t="shared" si="5"/>
        <v>1</v>
      </c>
    </row>
    <row r="155" spans="1:7" x14ac:dyDescent="0.25">
      <c r="A155" s="3">
        <v>11450146</v>
      </c>
      <c r="B155" s="3">
        <v>0.111</v>
      </c>
      <c r="C155" s="3">
        <v>6</v>
      </c>
      <c r="D155" s="3">
        <v>1.5</v>
      </c>
      <c r="E155" s="3">
        <f>+VLOOKUP(A155,'[1]Reporte Canjes Meals'!$A:$K,10,0)</f>
        <v>2</v>
      </c>
      <c r="F155" s="3">
        <f t="shared" si="4"/>
        <v>0.5</v>
      </c>
      <c r="G155" s="3">
        <f t="shared" si="5"/>
        <v>1</v>
      </c>
    </row>
    <row r="156" spans="1:7" x14ac:dyDescent="0.25">
      <c r="A156" s="3">
        <v>11453247</v>
      </c>
      <c r="B156" s="3">
        <v>0.24299999999999999</v>
      </c>
      <c r="C156" s="3">
        <v>13</v>
      </c>
      <c r="D156" s="3">
        <v>3.25</v>
      </c>
      <c r="E156" s="3">
        <f>+VLOOKUP(A156,'[1]Reporte Canjes Meals'!$A:$K,10,0)</f>
        <v>7</v>
      </c>
      <c r="F156" s="3">
        <f t="shared" si="4"/>
        <v>1.75</v>
      </c>
      <c r="G156" s="3">
        <f t="shared" si="5"/>
        <v>1.5</v>
      </c>
    </row>
    <row r="157" spans="1:7" x14ac:dyDescent="0.25">
      <c r="A157" s="3">
        <v>11454862</v>
      </c>
      <c r="B157" s="3">
        <v>0.20499999999999999</v>
      </c>
      <c r="C157" s="3">
        <v>11</v>
      </c>
      <c r="D157" s="3">
        <v>2.75</v>
      </c>
      <c r="E157" s="3">
        <f>+VLOOKUP(A157,'[1]Reporte Canjes Meals'!$A:$K,10,0)</f>
        <v>6</v>
      </c>
      <c r="F157" s="3">
        <f t="shared" si="4"/>
        <v>1.5</v>
      </c>
      <c r="G157" s="3">
        <f t="shared" si="5"/>
        <v>1.25</v>
      </c>
    </row>
    <row r="158" spans="1:7" x14ac:dyDescent="0.25">
      <c r="A158" s="3">
        <v>11455493</v>
      </c>
      <c r="B158" s="3">
        <v>5.6000000000000001E-2</v>
      </c>
      <c r="C158" s="3">
        <v>3</v>
      </c>
      <c r="D158" s="3">
        <v>0.75</v>
      </c>
      <c r="E158" s="3">
        <f>+VLOOKUP(A158,'[1]Reporte Canjes Meals'!$A:$K,10,0)</f>
        <v>0</v>
      </c>
      <c r="F158" s="3">
        <f t="shared" si="4"/>
        <v>0</v>
      </c>
      <c r="G158" s="3">
        <f t="shared" si="5"/>
        <v>0.75</v>
      </c>
    </row>
    <row r="159" spans="1:7" x14ac:dyDescent="0.25">
      <c r="A159" s="3">
        <v>11484885</v>
      </c>
      <c r="B159" s="3">
        <v>1.9E-2</v>
      </c>
      <c r="C159" s="3">
        <v>1</v>
      </c>
      <c r="D159" s="3">
        <v>0.25</v>
      </c>
      <c r="E159" s="3">
        <f>+VLOOKUP(A159,'[1]Reporte Canjes Meals'!$A:$K,10,0)</f>
        <v>0</v>
      </c>
      <c r="F159" s="3">
        <f t="shared" si="4"/>
        <v>0</v>
      </c>
      <c r="G159" s="3">
        <f t="shared" si="5"/>
        <v>0.25</v>
      </c>
    </row>
    <row r="160" spans="1:7" x14ac:dyDescent="0.25">
      <c r="A160" s="3">
        <v>11499831</v>
      </c>
      <c r="B160" s="3">
        <v>0.20399999999999999</v>
      </c>
      <c r="C160" s="3">
        <v>11</v>
      </c>
      <c r="D160" s="3">
        <v>2.75</v>
      </c>
      <c r="E160" s="3">
        <f>+VLOOKUP(A160,'[1]Reporte Canjes Meals'!$A:$K,10,0)</f>
        <v>11</v>
      </c>
      <c r="F160" s="3">
        <f t="shared" si="4"/>
        <v>2.75</v>
      </c>
      <c r="G160" s="3">
        <f t="shared" si="5"/>
        <v>0</v>
      </c>
    </row>
    <row r="161" spans="1:7" x14ac:dyDescent="0.25">
      <c r="A161" s="3">
        <v>11509872</v>
      </c>
      <c r="B161" s="3">
        <v>1.9E-2</v>
      </c>
      <c r="C161" s="3">
        <v>1</v>
      </c>
      <c r="D161" s="3">
        <v>0.25</v>
      </c>
      <c r="E161" s="3">
        <f>+VLOOKUP(A161,'[1]Reporte Canjes Meals'!$A:$K,10,0)</f>
        <v>0</v>
      </c>
      <c r="F161" s="3">
        <f t="shared" si="4"/>
        <v>0</v>
      </c>
      <c r="G161" s="3">
        <f t="shared" si="5"/>
        <v>0.25</v>
      </c>
    </row>
    <row r="162" spans="1:7" x14ac:dyDescent="0.25">
      <c r="A162" s="3">
        <v>11522686</v>
      </c>
      <c r="B162" s="3">
        <v>7.3999999999999996E-2</v>
      </c>
      <c r="C162" s="3">
        <v>4</v>
      </c>
      <c r="D162" s="3">
        <v>1</v>
      </c>
      <c r="E162" s="3">
        <f>+VLOOKUP(A162,'[1]Reporte Canjes Meals'!$A:$K,10,0)</f>
        <v>0</v>
      </c>
      <c r="F162" s="3">
        <f t="shared" si="4"/>
        <v>0</v>
      </c>
      <c r="G162" s="3">
        <f t="shared" si="5"/>
        <v>1</v>
      </c>
    </row>
    <row r="163" spans="1:7" x14ac:dyDescent="0.25">
      <c r="A163" s="3">
        <v>11541221</v>
      </c>
      <c r="B163" s="3">
        <v>0.74399999999999999</v>
      </c>
      <c r="C163" s="3">
        <v>40</v>
      </c>
      <c r="D163" s="3">
        <v>10</v>
      </c>
      <c r="E163" s="3">
        <f>+VLOOKUP(A163,'[1]Reporte Canjes Meals'!$A:$K,10,0)</f>
        <v>40</v>
      </c>
      <c r="F163" s="3">
        <f t="shared" si="4"/>
        <v>10</v>
      </c>
      <c r="G163" s="3">
        <f t="shared" si="5"/>
        <v>0</v>
      </c>
    </row>
    <row r="164" spans="1:7" x14ac:dyDescent="0.25">
      <c r="A164" s="3">
        <v>11550880</v>
      </c>
      <c r="B164" s="3">
        <v>1.9E-2</v>
      </c>
      <c r="C164" s="3">
        <v>1</v>
      </c>
      <c r="D164" s="3">
        <v>0.25</v>
      </c>
      <c r="E164" s="3">
        <f>+VLOOKUP(A164,'[1]Reporte Canjes Meals'!$A:$K,10,0)</f>
        <v>0</v>
      </c>
      <c r="F164" s="3">
        <f t="shared" si="4"/>
        <v>0</v>
      </c>
      <c r="G164" s="3">
        <f t="shared" si="5"/>
        <v>0.25</v>
      </c>
    </row>
    <row r="165" spans="1:7" x14ac:dyDescent="0.25">
      <c r="A165" s="3">
        <v>11554320</v>
      </c>
      <c r="B165" s="3">
        <v>0.20399999999999999</v>
      </c>
      <c r="C165" s="3">
        <v>11</v>
      </c>
      <c r="D165" s="3">
        <v>2.75</v>
      </c>
      <c r="E165" s="3">
        <f>+VLOOKUP(A165,'[1]Reporte Canjes Meals'!$A:$K,10,0)</f>
        <v>0</v>
      </c>
      <c r="F165" s="3">
        <f t="shared" si="4"/>
        <v>0</v>
      </c>
      <c r="G165" s="3">
        <f t="shared" si="5"/>
        <v>2.75</v>
      </c>
    </row>
    <row r="166" spans="1:7" x14ac:dyDescent="0.25">
      <c r="A166" s="3">
        <v>11561943</v>
      </c>
      <c r="B166" s="3">
        <v>3.6999999999999998E-2</v>
      </c>
      <c r="C166" s="3">
        <v>2</v>
      </c>
      <c r="D166" s="3">
        <v>0.5</v>
      </c>
      <c r="E166" s="3">
        <f>+VLOOKUP(A166,'[1]Reporte Canjes Meals'!$A:$K,10,0)</f>
        <v>2</v>
      </c>
      <c r="F166" s="3">
        <f t="shared" si="4"/>
        <v>0.5</v>
      </c>
      <c r="G166" s="3">
        <f t="shared" si="5"/>
        <v>0</v>
      </c>
    </row>
    <row r="167" spans="1:7" x14ac:dyDescent="0.25">
      <c r="A167" s="3">
        <v>11563550</v>
      </c>
      <c r="B167" s="3">
        <v>1.9E-2</v>
      </c>
      <c r="C167" s="3">
        <v>1</v>
      </c>
      <c r="D167" s="3">
        <v>0.25</v>
      </c>
      <c r="E167" s="3">
        <f>+VLOOKUP(A167,'[1]Reporte Canjes Meals'!$A:$K,10,0)</f>
        <v>0</v>
      </c>
      <c r="F167" s="3">
        <f t="shared" si="4"/>
        <v>0</v>
      </c>
      <c r="G167" s="3">
        <f t="shared" si="5"/>
        <v>0.25</v>
      </c>
    </row>
    <row r="168" spans="1:7" x14ac:dyDescent="0.25">
      <c r="A168" s="3">
        <v>11573794</v>
      </c>
      <c r="B168" s="3">
        <v>7.3999999999999996E-2</v>
      </c>
      <c r="C168" s="3">
        <v>4</v>
      </c>
      <c r="D168" s="3">
        <v>1</v>
      </c>
      <c r="E168" s="3">
        <f>+VLOOKUP(A168,'[1]Reporte Canjes Meals'!$A:$K,10,0)</f>
        <v>4</v>
      </c>
      <c r="F168" s="3">
        <f t="shared" si="4"/>
        <v>1</v>
      </c>
      <c r="G168" s="3">
        <f t="shared" si="5"/>
        <v>0</v>
      </c>
    </row>
    <row r="169" spans="1:7" x14ac:dyDescent="0.25">
      <c r="A169" s="3">
        <v>11583267</v>
      </c>
      <c r="B169" s="3">
        <v>1.2090000000000001</v>
      </c>
      <c r="C169" s="3">
        <v>65</v>
      </c>
      <c r="D169" s="3">
        <v>16.25</v>
      </c>
      <c r="E169" s="3">
        <f>+VLOOKUP(A169,'[1]Reporte Canjes Meals'!$A:$K,10,0)</f>
        <v>27</v>
      </c>
      <c r="F169" s="3">
        <f t="shared" si="4"/>
        <v>6.75</v>
      </c>
      <c r="G169" s="3">
        <f t="shared" si="5"/>
        <v>9.5</v>
      </c>
    </row>
    <row r="170" spans="1:7" x14ac:dyDescent="0.25">
      <c r="A170" s="3">
        <v>11598109</v>
      </c>
      <c r="B170" s="3">
        <v>0.16800000000000001</v>
      </c>
      <c r="C170" s="3">
        <v>9</v>
      </c>
      <c r="D170" s="3">
        <v>2.25</v>
      </c>
      <c r="E170" s="3">
        <f>+VLOOKUP(A170,'[1]Reporte Canjes Meals'!$A:$K,10,0)</f>
        <v>0</v>
      </c>
      <c r="F170" s="3">
        <f t="shared" si="4"/>
        <v>0</v>
      </c>
      <c r="G170" s="3">
        <f t="shared" si="5"/>
        <v>2.25</v>
      </c>
    </row>
    <row r="171" spans="1:7" x14ac:dyDescent="0.25">
      <c r="A171" s="3">
        <v>11609326</v>
      </c>
      <c r="B171" s="3">
        <v>0.46600000000000003</v>
      </c>
      <c r="C171" s="3">
        <v>25</v>
      </c>
      <c r="D171" s="3">
        <v>6.25</v>
      </c>
      <c r="E171" s="3">
        <f>+VLOOKUP(A171,'[1]Reporte Canjes Meals'!$A:$K,10,0)</f>
        <v>7</v>
      </c>
      <c r="F171" s="3">
        <f t="shared" si="4"/>
        <v>1.75</v>
      </c>
      <c r="G171" s="3">
        <f t="shared" si="5"/>
        <v>4.5</v>
      </c>
    </row>
    <row r="172" spans="1:7" x14ac:dyDescent="0.25">
      <c r="A172" s="3">
        <v>11623051</v>
      </c>
      <c r="B172" s="3">
        <v>0.223</v>
      </c>
      <c r="C172" s="3">
        <v>12</v>
      </c>
      <c r="D172" s="3">
        <v>3</v>
      </c>
      <c r="E172" s="3">
        <f>+VLOOKUP(A172,'[1]Reporte Canjes Meals'!$A:$K,10,0)</f>
        <v>0</v>
      </c>
      <c r="F172" s="3">
        <f t="shared" si="4"/>
        <v>0</v>
      </c>
      <c r="G172" s="3">
        <f t="shared" si="5"/>
        <v>3</v>
      </c>
    </row>
    <row r="173" spans="1:7" x14ac:dyDescent="0.25">
      <c r="A173" s="3">
        <v>11625938</v>
      </c>
      <c r="B173" s="3">
        <v>0.112</v>
      </c>
      <c r="C173" s="3">
        <v>6</v>
      </c>
      <c r="D173" s="3">
        <v>1.5</v>
      </c>
      <c r="E173" s="3">
        <f>+VLOOKUP(A173,'[1]Reporte Canjes Meals'!$A:$K,10,0)</f>
        <v>0</v>
      </c>
      <c r="F173" s="3">
        <f t="shared" si="4"/>
        <v>0</v>
      </c>
      <c r="G173" s="3">
        <f t="shared" si="5"/>
        <v>1.5</v>
      </c>
    </row>
    <row r="174" spans="1:7" x14ac:dyDescent="0.25">
      <c r="A174" s="3">
        <v>11645793</v>
      </c>
      <c r="B174" s="3">
        <v>0.317</v>
      </c>
      <c r="C174" s="3">
        <v>17</v>
      </c>
      <c r="D174" s="3">
        <v>4.25</v>
      </c>
      <c r="E174" s="3">
        <f>+VLOOKUP(A174,'[1]Reporte Canjes Meals'!$A:$K,10,0)</f>
        <v>17</v>
      </c>
      <c r="F174" s="3">
        <f t="shared" si="4"/>
        <v>4.25</v>
      </c>
      <c r="G174" s="3">
        <f t="shared" si="5"/>
        <v>0</v>
      </c>
    </row>
    <row r="175" spans="1:7" x14ac:dyDescent="0.25">
      <c r="A175" s="3">
        <v>11647909</v>
      </c>
      <c r="B175" s="3">
        <v>0.55800000000000005</v>
      </c>
      <c r="C175" s="3">
        <v>30</v>
      </c>
      <c r="D175" s="3">
        <v>7.5</v>
      </c>
      <c r="E175" s="3">
        <f>+VLOOKUP(A175,'[1]Reporte Canjes Meals'!$A:$K,10,0)</f>
        <v>0</v>
      </c>
      <c r="F175" s="3">
        <f t="shared" si="4"/>
        <v>0</v>
      </c>
      <c r="G175" s="3">
        <f t="shared" si="5"/>
        <v>7.5</v>
      </c>
    </row>
    <row r="176" spans="1:7" x14ac:dyDescent="0.25">
      <c r="A176" s="3">
        <v>11649737</v>
      </c>
      <c r="B176" s="3">
        <v>0.41</v>
      </c>
      <c r="C176" s="3">
        <v>22</v>
      </c>
      <c r="D176" s="3">
        <v>5.5</v>
      </c>
      <c r="E176" s="3">
        <f>+VLOOKUP(A176,'[1]Reporte Canjes Meals'!$A:$K,10,0)</f>
        <v>0</v>
      </c>
      <c r="F176" s="3">
        <f t="shared" si="4"/>
        <v>0</v>
      </c>
      <c r="G176" s="3">
        <f t="shared" si="5"/>
        <v>5.5</v>
      </c>
    </row>
    <row r="177" spans="1:7" x14ac:dyDescent="0.25">
      <c r="A177" s="3">
        <v>11649898</v>
      </c>
      <c r="B177" s="3">
        <v>0.35299999999999998</v>
      </c>
      <c r="C177" s="3">
        <v>19</v>
      </c>
      <c r="D177" s="3">
        <v>4.75</v>
      </c>
      <c r="E177" s="3">
        <f>+VLOOKUP(A177,'[1]Reporte Canjes Meals'!$A:$K,10,0)</f>
        <v>10</v>
      </c>
      <c r="F177" s="3">
        <f t="shared" si="4"/>
        <v>2.5</v>
      </c>
      <c r="G177" s="3">
        <f t="shared" si="5"/>
        <v>2.25</v>
      </c>
    </row>
    <row r="178" spans="1:7" x14ac:dyDescent="0.25">
      <c r="A178" s="3">
        <v>11661899</v>
      </c>
      <c r="B178" s="3">
        <v>5.6000000000000001E-2</v>
      </c>
      <c r="C178" s="3">
        <v>3</v>
      </c>
      <c r="D178" s="3">
        <v>0.75</v>
      </c>
      <c r="E178" s="3">
        <f>+VLOOKUP(A178,'[1]Reporte Canjes Meals'!$A:$K,10,0)</f>
        <v>2</v>
      </c>
      <c r="F178" s="3">
        <f t="shared" si="4"/>
        <v>0.5</v>
      </c>
      <c r="G178" s="3">
        <f t="shared" si="5"/>
        <v>0.25</v>
      </c>
    </row>
    <row r="179" spans="1:7" x14ac:dyDescent="0.25">
      <c r="A179" s="3">
        <v>11662729</v>
      </c>
      <c r="B179" s="3">
        <v>9.2999999999999999E-2</v>
      </c>
      <c r="C179" s="3">
        <v>5</v>
      </c>
      <c r="D179" s="3">
        <v>1.25</v>
      </c>
      <c r="E179" s="3">
        <f>+VLOOKUP(A179,'[1]Reporte Canjes Meals'!$A:$K,10,0)</f>
        <v>5</v>
      </c>
      <c r="F179" s="3">
        <f t="shared" si="4"/>
        <v>1.25</v>
      </c>
      <c r="G179" s="3">
        <f t="shared" si="5"/>
        <v>0</v>
      </c>
    </row>
    <row r="180" spans="1:7" x14ac:dyDescent="0.25">
      <c r="A180" s="3">
        <v>11668479</v>
      </c>
      <c r="B180" s="3">
        <v>7.3999999999999996E-2</v>
      </c>
      <c r="C180" s="3">
        <v>4</v>
      </c>
      <c r="D180" s="3">
        <v>1</v>
      </c>
      <c r="E180" s="3">
        <f>+VLOOKUP(A180,'[1]Reporte Canjes Meals'!$A:$K,10,0)</f>
        <v>4</v>
      </c>
      <c r="F180" s="3">
        <f t="shared" si="4"/>
        <v>1</v>
      </c>
      <c r="G180" s="3">
        <f t="shared" si="5"/>
        <v>0</v>
      </c>
    </row>
    <row r="181" spans="1:7" x14ac:dyDescent="0.25">
      <c r="A181" s="3">
        <v>11669868</v>
      </c>
      <c r="B181" s="3">
        <v>1.302</v>
      </c>
      <c r="C181" s="3">
        <v>70</v>
      </c>
      <c r="D181" s="3">
        <v>17.5</v>
      </c>
      <c r="E181" s="3">
        <f>+VLOOKUP(A181,'[1]Reporte Canjes Meals'!$A:$K,10,0)</f>
        <v>4</v>
      </c>
      <c r="F181" s="3">
        <f t="shared" si="4"/>
        <v>1</v>
      </c>
      <c r="G181" s="3">
        <f t="shared" si="5"/>
        <v>16.5</v>
      </c>
    </row>
    <row r="182" spans="1:7" x14ac:dyDescent="0.25">
      <c r="A182" s="3">
        <v>11673456</v>
      </c>
      <c r="B182" s="3">
        <v>3.6999999999999998E-2</v>
      </c>
      <c r="C182" s="3">
        <v>2</v>
      </c>
      <c r="D182" s="3">
        <v>0.5</v>
      </c>
      <c r="E182" s="3">
        <f>+VLOOKUP(A182,'[1]Reporte Canjes Meals'!$A:$K,10,0)</f>
        <v>2</v>
      </c>
      <c r="F182" s="3">
        <f t="shared" si="4"/>
        <v>0.5</v>
      </c>
      <c r="G182" s="3">
        <f t="shared" si="5"/>
        <v>0</v>
      </c>
    </row>
    <row r="183" spans="1:7" x14ac:dyDescent="0.25">
      <c r="A183" s="3">
        <v>11675689</v>
      </c>
      <c r="B183" s="3">
        <v>0.14899999999999999</v>
      </c>
      <c r="C183" s="3">
        <v>8</v>
      </c>
      <c r="D183" s="3">
        <v>2</v>
      </c>
      <c r="E183" s="3">
        <f>+VLOOKUP(A183,'[1]Reporte Canjes Meals'!$A:$K,10,0)</f>
        <v>2</v>
      </c>
      <c r="F183" s="3">
        <f t="shared" si="4"/>
        <v>0.5</v>
      </c>
      <c r="G183" s="3">
        <f t="shared" si="5"/>
        <v>1.5</v>
      </c>
    </row>
    <row r="184" spans="1:7" x14ac:dyDescent="0.25">
      <c r="A184" s="3">
        <v>11678974</v>
      </c>
      <c r="B184" s="3">
        <v>3.6999999999999998E-2</v>
      </c>
      <c r="C184" s="3">
        <v>2</v>
      </c>
      <c r="D184" s="3">
        <v>0.5</v>
      </c>
      <c r="E184" s="3">
        <f>+VLOOKUP(A184,'[1]Reporte Canjes Meals'!$A:$K,10,0)</f>
        <v>2</v>
      </c>
      <c r="F184" s="3">
        <f t="shared" si="4"/>
        <v>0.5</v>
      </c>
      <c r="G184" s="3">
        <f t="shared" si="5"/>
        <v>0</v>
      </c>
    </row>
    <row r="185" spans="1:7" x14ac:dyDescent="0.25">
      <c r="A185" s="3">
        <v>11710537</v>
      </c>
      <c r="B185" s="3">
        <v>0.24199999999999999</v>
      </c>
      <c r="C185" s="3">
        <v>13</v>
      </c>
      <c r="D185" s="3">
        <v>3.25</v>
      </c>
      <c r="E185" s="3">
        <f>+VLOOKUP(A185,'[1]Reporte Canjes Meals'!$A:$K,10,0)</f>
        <v>11</v>
      </c>
      <c r="F185" s="3">
        <f t="shared" si="4"/>
        <v>2.75</v>
      </c>
      <c r="G185" s="3">
        <f t="shared" si="5"/>
        <v>0.5</v>
      </c>
    </row>
    <row r="186" spans="1:7" x14ac:dyDescent="0.25">
      <c r="A186" s="3">
        <v>11715306</v>
      </c>
      <c r="B186" s="3">
        <v>0.96799999999999997</v>
      </c>
      <c r="C186" s="3">
        <v>52</v>
      </c>
      <c r="D186" s="3">
        <v>13</v>
      </c>
      <c r="E186" s="3">
        <f>+VLOOKUP(A186,'[1]Reporte Canjes Meals'!$A:$K,10,0)</f>
        <v>6</v>
      </c>
      <c r="F186" s="3">
        <f t="shared" si="4"/>
        <v>1.5</v>
      </c>
      <c r="G186" s="3">
        <f t="shared" si="5"/>
        <v>11.5</v>
      </c>
    </row>
    <row r="187" spans="1:7" x14ac:dyDescent="0.25">
      <c r="A187" s="3">
        <v>11715334</v>
      </c>
      <c r="B187" s="3">
        <v>0.44600000000000001</v>
      </c>
      <c r="C187" s="3">
        <v>24</v>
      </c>
      <c r="D187" s="3">
        <v>6</v>
      </c>
      <c r="E187" s="3">
        <f>+VLOOKUP(A187,'[1]Reporte Canjes Meals'!$A:$K,10,0)</f>
        <v>0</v>
      </c>
      <c r="F187" s="3">
        <f t="shared" si="4"/>
        <v>0</v>
      </c>
      <c r="G187" s="3">
        <f t="shared" si="5"/>
        <v>6</v>
      </c>
    </row>
    <row r="188" spans="1:7" x14ac:dyDescent="0.25">
      <c r="A188" s="3">
        <v>11726080</v>
      </c>
      <c r="B188" s="3">
        <v>0.29799999999999999</v>
      </c>
      <c r="C188" s="3">
        <v>16</v>
      </c>
      <c r="D188" s="3">
        <v>4</v>
      </c>
      <c r="E188" s="3">
        <f>+VLOOKUP(A188,'[1]Reporte Canjes Meals'!$A:$K,10,0)</f>
        <v>0</v>
      </c>
      <c r="F188" s="3">
        <f t="shared" si="4"/>
        <v>0</v>
      </c>
      <c r="G188" s="3">
        <f t="shared" si="5"/>
        <v>4</v>
      </c>
    </row>
    <row r="189" spans="1:7" x14ac:dyDescent="0.25">
      <c r="A189" s="3">
        <v>11726818</v>
      </c>
      <c r="B189" s="3">
        <v>3.6999999999999998E-2</v>
      </c>
      <c r="C189" s="3">
        <v>2</v>
      </c>
      <c r="D189" s="3">
        <v>0.5</v>
      </c>
      <c r="E189" s="3">
        <f>+VLOOKUP(A189,'[1]Reporte Canjes Meals'!$A:$K,10,0)</f>
        <v>0</v>
      </c>
      <c r="F189" s="3">
        <f t="shared" si="4"/>
        <v>0</v>
      </c>
      <c r="G189" s="3">
        <f t="shared" si="5"/>
        <v>0.5</v>
      </c>
    </row>
    <row r="190" spans="1:7" x14ac:dyDescent="0.25">
      <c r="A190" s="3">
        <v>11730674</v>
      </c>
      <c r="B190" s="3">
        <v>0.46700000000000003</v>
      </c>
      <c r="C190" s="3">
        <v>25</v>
      </c>
      <c r="D190" s="3">
        <v>6.25</v>
      </c>
      <c r="E190" s="3">
        <f>+VLOOKUP(A190,'[1]Reporte Canjes Meals'!$A:$K,10,0)</f>
        <v>0</v>
      </c>
      <c r="F190" s="3">
        <f t="shared" si="4"/>
        <v>0</v>
      </c>
      <c r="G190" s="3">
        <f t="shared" si="5"/>
        <v>6.25</v>
      </c>
    </row>
    <row r="191" spans="1:7" x14ac:dyDescent="0.25">
      <c r="A191" s="3">
        <v>11748225</v>
      </c>
      <c r="B191" s="3">
        <v>0.224</v>
      </c>
      <c r="C191" s="3">
        <v>12</v>
      </c>
      <c r="D191" s="3">
        <v>3</v>
      </c>
      <c r="E191" s="3">
        <f>+VLOOKUP(A191,'[1]Reporte Canjes Meals'!$A:$K,10,0)</f>
        <v>0</v>
      </c>
      <c r="F191" s="3">
        <f t="shared" si="4"/>
        <v>0</v>
      </c>
      <c r="G191" s="3">
        <f t="shared" si="5"/>
        <v>3</v>
      </c>
    </row>
    <row r="192" spans="1:7" x14ac:dyDescent="0.25">
      <c r="A192" s="3">
        <v>11750622</v>
      </c>
      <c r="B192" s="3">
        <v>0.26</v>
      </c>
      <c r="C192" s="3">
        <v>14</v>
      </c>
      <c r="D192" s="3">
        <v>3.5</v>
      </c>
      <c r="E192" s="3">
        <f>+VLOOKUP(A192,'[1]Reporte Canjes Meals'!$A:$K,10,0)</f>
        <v>8</v>
      </c>
      <c r="F192" s="3">
        <f t="shared" si="4"/>
        <v>2</v>
      </c>
      <c r="G192" s="3">
        <f t="shared" si="5"/>
        <v>1.5</v>
      </c>
    </row>
    <row r="193" spans="1:7" x14ac:dyDescent="0.25">
      <c r="A193" s="3">
        <v>11753581</v>
      </c>
      <c r="B193" s="3">
        <v>0.13</v>
      </c>
      <c r="C193" s="3">
        <v>7</v>
      </c>
      <c r="D193" s="3">
        <v>1.75</v>
      </c>
      <c r="E193" s="3">
        <f>+VLOOKUP(A193,'[1]Reporte Canjes Meals'!$A:$K,10,0)</f>
        <v>3</v>
      </c>
      <c r="F193" s="3">
        <f t="shared" si="4"/>
        <v>0.75</v>
      </c>
      <c r="G193" s="3">
        <f t="shared" si="5"/>
        <v>1</v>
      </c>
    </row>
    <row r="194" spans="1:7" x14ac:dyDescent="0.25">
      <c r="A194" s="3">
        <v>11757872</v>
      </c>
      <c r="B194" s="3">
        <v>0.14899999999999999</v>
      </c>
      <c r="C194" s="3">
        <v>8</v>
      </c>
      <c r="D194" s="3">
        <v>2</v>
      </c>
      <c r="E194" s="3">
        <f>+VLOOKUP(A194,'[1]Reporte Canjes Meals'!$A:$K,10,0)</f>
        <v>2</v>
      </c>
      <c r="F194" s="3">
        <f t="shared" si="4"/>
        <v>0.5</v>
      </c>
      <c r="G194" s="3">
        <f t="shared" si="5"/>
        <v>1.5</v>
      </c>
    </row>
    <row r="195" spans="1:7" x14ac:dyDescent="0.25">
      <c r="A195" s="3">
        <v>11762053</v>
      </c>
      <c r="B195" s="3">
        <v>0.186</v>
      </c>
      <c r="C195" s="3">
        <v>10</v>
      </c>
      <c r="D195" s="3">
        <v>2.5</v>
      </c>
      <c r="E195" s="3">
        <f>+VLOOKUP(A195,'[1]Reporte Canjes Meals'!$A:$K,10,0)</f>
        <v>0</v>
      </c>
      <c r="F195" s="3">
        <f t="shared" ref="F195:F258" si="6">+E195/4</f>
        <v>0</v>
      </c>
      <c r="G195" s="3">
        <f t="shared" ref="G195:G258" si="7">+D195-F195</f>
        <v>2.5</v>
      </c>
    </row>
    <row r="196" spans="1:7" x14ac:dyDescent="0.25">
      <c r="A196" s="3">
        <v>11762777</v>
      </c>
      <c r="B196" s="3">
        <v>0.29699999999999999</v>
      </c>
      <c r="C196" s="3">
        <v>16</v>
      </c>
      <c r="D196" s="3">
        <v>4</v>
      </c>
      <c r="E196" s="3">
        <f>+VLOOKUP(A196,'[1]Reporte Canjes Meals'!$A:$K,10,0)</f>
        <v>12</v>
      </c>
      <c r="F196" s="3">
        <f t="shared" si="6"/>
        <v>3</v>
      </c>
      <c r="G196" s="3">
        <f t="shared" si="7"/>
        <v>1</v>
      </c>
    </row>
    <row r="197" spans="1:7" x14ac:dyDescent="0.25">
      <c r="A197" s="3">
        <v>11768259</v>
      </c>
      <c r="B197" s="3">
        <v>7.3999999999999996E-2</v>
      </c>
      <c r="C197" s="3">
        <v>4</v>
      </c>
      <c r="D197" s="3">
        <v>1</v>
      </c>
      <c r="E197" s="3">
        <f>+VLOOKUP(A197,'[1]Reporte Canjes Meals'!$A:$K,10,0)</f>
        <v>0</v>
      </c>
      <c r="F197" s="3">
        <f t="shared" si="6"/>
        <v>0</v>
      </c>
      <c r="G197" s="3">
        <f t="shared" si="7"/>
        <v>1</v>
      </c>
    </row>
    <row r="198" spans="1:7" x14ac:dyDescent="0.25">
      <c r="A198" s="3">
        <v>11794811</v>
      </c>
      <c r="B198" s="3">
        <v>3.7999999999999999E-2</v>
      </c>
      <c r="C198" s="3">
        <v>2</v>
      </c>
      <c r="D198" s="3">
        <v>0.5</v>
      </c>
      <c r="E198" s="3">
        <f>+VLOOKUP(A198,'[1]Reporte Canjes Meals'!$A:$K,10,0)</f>
        <v>2</v>
      </c>
      <c r="F198" s="3">
        <f t="shared" si="6"/>
        <v>0.5</v>
      </c>
      <c r="G198" s="3">
        <f t="shared" si="7"/>
        <v>0</v>
      </c>
    </row>
    <row r="199" spans="1:7" x14ac:dyDescent="0.25">
      <c r="A199" s="3">
        <v>11795342</v>
      </c>
      <c r="B199" s="3">
        <v>3.7999999999999999E-2</v>
      </c>
      <c r="C199" s="3">
        <v>2</v>
      </c>
      <c r="D199" s="3">
        <v>0.5</v>
      </c>
      <c r="E199" s="3">
        <f>+VLOOKUP(A199,'[1]Reporte Canjes Meals'!$A:$K,10,0)</f>
        <v>0</v>
      </c>
      <c r="F199" s="3">
        <f t="shared" si="6"/>
        <v>0</v>
      </c>
      <c r="G199" s="3">
        <f t="shared" si="7"/>
        <v>0.5</v>
      </c>
    </row>
    <row r="200" spans="1:7" x14ac:dyDescent="0.25">
      <c r="A200" s="3">
        <v>11798918</v>
      </c>
      <c r="B200" s="3">
        <v>7.4999999999999997E-2</v>
      </c>
      <c r="C200" s="3">
        <v>4</v>
      </c>
      <c r="D200" s="3">
        <v>1</v>
      </c>
      <c r="E200" s="3">
        <f>+VLOOKUP(A200,'[1]Reporte Canjes Meals'!$A:$K,10,0)</f>
        <v>0</v>
      </c>
      <c r="F200" s="3">
        <f t="shared" si="6"/>
        <v>0</v>
      </c>
      <c r="G200" s="3">
        <f t="shared" si="7"/>
        <v>1</v>
      </c>
    </row>
    <row r="201" spans="1:7" x14ac:dyDescent="0.25">
      <c r="A201" s="3">
        <v>11801994</v>
      </c>
      <c r="B201" s="3">
        <v>0.14799999999999999</v>
      </c>
      <c r="C201" s="3">
        <v>8</v>
      </c>
      <c r="D201" s="3">
        <v>2</v>
      </c>
      <c r="E201" s="3">
        <f>+VLOOKUP(A201,'[1]Reporte Canjes Meals'!$A:$K,10,0)</f>
        <v>4</v>
      </c>
      <c r="F201" s="3">
        <f t="shared" si="6"/>
        <v>1</v>
      </c>
      <c r="G201" s="3">
        <f t="shared" si="7"/>
        <v>1</v>
      </c>
    </row>
    <row r="202" spans="1:7" x14ac:dyDescent="0.25">
      <c r="A202" s="3">
        <v>11861421</v>
      </c>
      <c r="B202" s="3">
        <v>7.3999999999999996E-2</v>
      </c>
      <c r="C202" s="3">
        <v>4</v>
      </c>
      <c r="D202" s="3">
        <v>1</v>
      </c>
      <c r="E202" s="3">
        <f>+VLOOKUP(A202,'[1]Reporte Canjes Meals'!$A:$K,10,0)</f>
        <v>0</v>
      </c>
      <c r="F202" s="3">
        <f t="shared" si="6"/>
        <v>0</v>
      </c>
      <c r="G202" s="3">
        <f t="shared" si="7"/>
        <v>1</v>
      </c>
    </row>
    <row r="203" spans="1:7" x14ac:dyDescent="0.25">
      <c r="A203" s="3">
        <v>12106446</v>
      </c>
      <c r="B203" s="3">
        <v>0.223</v>
      </c>
      <c r="C203" s="3">
        <v>12</v>
      </c>
      <c r="D203" s="3">
        <v>3</v>
      </c>
      <c r="E203" s="3">
        <f>+VLOOKUP(A203,'[1]Reporte Canjes Meals'!$A:$K,10,0)</f>
        <v>0</v>
      </c>
      <c r="F203" s="3">
        <f t="shared" si="6"/>
        <v>0</v>
      </c>
      <c r="G203" s="3">
        <f t="shared" si="7"/>
        <v>3</v>
      </c>
    </row>
    <row r="204" spans="1:7" x14ac:dyDescent="0.25">
      <c r="A204" s="3">
        <v>12109138</v>
      </c>
      <c r="B204" s="3">
        <v>1.9E-2</v>
      </c>
      <c r="C204" s="3">
        <v>1</v>
      </c>
      <c r="D204" s="3">
        <v>0.25</v>
      </c>
      <c r="E204" s="3">
        <f>+VLOOKUP(A204,'[1]Reporte Canjes Meals'!$A:$K,10,0)</f>
        <v>0</v>
      </c>
      <c r="F204" s="3">
        <f t="shared" si="6"/>
        <v>0</v>
      </c>
      <c r="G204" s="3">
        <f t="shared" si="7"/>
        <v>0.25</v>
      </c>
    </row>
    <row r="205" spans="1:7" x14ac:dyDescent="0.25">
      <c r="A205" s="3">
        <v>12109201</v>
      </c>
      <c r="B205" s="3">
        <v>1.9E-2</v>
      </c>
      <c r="C205" s="3">
        <v>1</v>
      </c>
      <c r="D205" s="3">
        <v>0.25</v>
      </c>
      <c r="E205" s="3">
        <f>+VLOOKUP(A205,'[1]Reporte Canjes Meals'!$A:$K,10,0)</f>
        <v>0</v>
      </c>
      <c r="F205" s="3">
        <f t="shared" si="6"/>
        <v>0</v>
      </c>
      <c r="G205" s="3">
        <f t="shared" si="7"/>
        <v>0.25</v>
      </c>
    </row>
    <row r="206" spans="1:7" x14ac:dyDescent="0.25">
      <c r="A206" s="3">
        <v>12114887</v>
      </c>
      <c r="B206" s="3">
        <v>0.14799999999999999</v>
      </c>
      <c r="C206" s="3">
        <v>8</v>
      </c>
      <c r="D206" s="3">
        <v>2</v>
      </c>
      <c r="E206" s="3">
        <f>+VLOOKUP(A206,'[1]Reporte Canjes Meals'!$A:$K,10,0)</f>
        <v>8</v>
      </c>
      <c r="F206" s="3">
        <f t="shared" si="6"/>
        <v>2</v>
      </c>
      <c r="G206" s="3">
        <f t="shared" si="7"/>
        <v>0</v>
      </c>
    </row>
    <row r="207" spans="1:7" x14ac:dyDescent="0.25">
      <c r="A207" s="3">
        <v>12123210</v>
      </c>
      <c r="B207" s="3">
        <v>0.14899999999999999</v>
      </c>
      <c r="C207" s="3">
        <v>8</v>
      </c>
      <c r="D207" s="3">
        <v>2</v>
      </c>
      <c r="E207" s="3">
        <f>+VLOOKUP(A207,'[1]Reporte Canjes Meals'!$A:$K,10,0)</f>
        <v>8</v>
      </c>
      <c r="F207" s="3">
        <f t="shared" si="6"/>
        <v>2</v>
      </c>
      <c r="G207" s="3">
        <f t="shared" si="7"/>
        <v>0</v>
      </c>
    </row>
    <row r="208" spans="1:7" x14ac:dyDescent="0.25">
      <c r="A208" s="3">
        <v>12125199</v>
      </c>
      <c r="B208" s="3">
        <v>0.112</v>
      </c>
      <c r="C208" s="3">
        <v>6</v>
      </c>
      <c r="D208" s="3">
        <v>1.5</v>
      </c>
      <c r="E208" s="3">
        <f>+VLOOKUP(A208,'[1]Reporte Canjes Meals'!$A:$K,10,0)</f>
        <v>0</v>
      </c>
      <c r="F208" s="3">
        <f t="shared" si="6"/>
        <v>0</v>
      </c>
      <c r="G208" s="3">
        <f t="shared" si="7"/>
        <v>1.5</v>
      </c>
    </row>
    <row r="209" spans="1:7" x14ac:dyDescent="0.25">
      <c r="A209" s="3">
        <v>12125370</v>
      </c>
      <c r="B209" s="3">
        <v>0.52100000000000002</v>
      </c>
      <c r="C209" s="3">
        <v>28</v>
      </c>
      <c r="D209" s="3">
        <v>7</v>
      </c>
      <c r="E209" s="3">
        <f>+VLOOKUP(A209,'[1]Reporte Canjes Meals'!$A:$K,10,0)</f>
        <v>28</v>
      </c>
      <c r="F209" s="3">
        <f t="shared" si="6"/>
        <v>7</v>
      </c>
      <c r="G209" s="3">
        <f t="shared" si="7"/>
        <v>0</v>
      </c>
    </row>
    <row r="210" spans="1:7" x14ac:dyDescent="0.25">
      <c r="A210" s="3">
        <v>12137058</v>
      </c>
      <c r="B210" s="3">
        <v>3.7999999999999999E-2</v>
      </c>
      <c r="C210" s="3">
        <v>2</v>
      </c>
      <c r="D210" s="3">
        <v>0.5</v>
      </c>
      <c r="E210" s="3">
        <f>+VLOOKUP(A210,'[1]Reporte Canjes Meals'!$A:$K,10,0)</f>
        <v>0</v>
      </c>
      <c r="F210" s="3">
        <f t="shared" si="6"/>
        <v>0</v>
      </c>
      <c r="G210" s="3">
        <f t="shared" si="7"/>
        <v>0.5</v>
      </c>
    </row>
    <row r="211" spans="1:7" x14ac:dyDescent="0.25">
      <c r="A211" s="3">
        <v>12140306</v>
      </c>
      <c r="B211" s="3">
        <v>0.26</v>
      </c>
      <c r="C211" s="3">
        <v>14</v>
      </c>
      <c r="D211" s="3">
        <v>3.5</v>
      </c>
      <c r="E211" s="3">
        <f>+VLOOKUP(A211,'[1]Reporte Canjes Meals'!$A:$K,10,0)</f>
        <v>0</v>
      </c>
      <c r="F211" s="3">
        <f t="shared" si="6"/>
        <v>0</v>
      </c>
      <c r="G211" s="3">
        <f t="shared" si="7"/>
        <v>3.5</v>
      </c>
    </row>
    <row r="212" spans="1:7" x14ac:dyDescent="0.25">
      <c r="A212" s="3">
        <v>12145103</v>
      </c>
      <c r="B212" s="3">
        <v>0.14899999999999999</v>
      </c>
      <c r="C212" s="3">
        <v>8</v>
      </c>
      <c r="D212" s="3">
        <v>2</v>
      </c>
      <c r="E212" s="3" t="e">
        <f>+VLOOKUP(A212,'[1]Reporte Canjes Meals'!$A:$K,10,0)</f>
        <v>#N/A</v>
      </c>
      <c r="F212" s="3" t="e">
        <f t="shared" si="6"/>
        <v>#N/A</v>
      </c>
      <c r="G212" s="3" t="e">
        <f t="shared" si="7"/>
        <v>#N/A</v>
      </c>
    </row>
    <row r="213" spans="1:7" x14ac:dyDescent="0.25">
      <c r="A213" s="3">
        <v>12148595</v>
      </c>
      <c r="B213" s="3">
        <v>0.223</v>
      </c>
      <c r="C213" s="3">
        <v>12</v>
      </c>
      <c r="D213" s="3">
        <v>3</v>
      </c>
      <c r="E213" s="3">
        <f>+VLOOKUP(A213,'[1]Reporte Canjes Meals'!$A:$K,10,0)</f>
        <v>0</v>
      </c>
      <c r="F213" s="3">
        <f t="shared" si="6"/>
        <v>0</v>
      </c>
      <c r="G213" s="3">
        <f t="shared" si="7"/>
        <v>3</v>
      </c>
    </row>
    <row r="214" spans="1:7" x14ac:dyDescent="0.25">
      <c r="A214" s="3">
        <v>12158861</v>
      </c>
      <c r="B214" s="3">
        <v>9.2999999999999999E-2</v>
      </c>
      <c r="C214" s="3">
        <v>5</v>
      </c>
      <c r="D214" s="3">
        <v>1.25</v>
      </c>
      <c r="E214" s="3">
        <f>+VLOOKUP(A214,'[1]Reporte Canjes Meals'!$A:$K,10,0)</f>
        <v>1</v>
      </c>
      <c r="F214" s="3">
        <f t="shared" si="6"/>
        <v>0.25</v>
      </c>
      <c r="G214" s="3">
        <f t="shared" si="7"/>
        <v>1</v>
      </c>
    </row>
    <row r="215" spans="1:7" x14ac:dyDescent="0.25">
      <c r="A215" s="3">
        <v>12159009</v>
      </c>
      <c r="B215" s="3">
        <v>4.2999999999999997E-2</v>
      </c>
      <c r="C215" s="3">
        <v>2</v>
      </c>
      <c r="D215" s="3">
        <v>0.5</v>
      </c>
      <c r="E215" s="3">
        <f>+VLOOKUP(A215,'[1]Reporte Canjes Meals'!$A:$K,10,0)</f>
        <v>0</v>
      </c>
      <c r="F215" s="3">
        <f t="shared" si="6"/>
        <v>0</v>
      </c>
      <c r="G215" s="3">
        <f t="shared" si="7"/>
        <v>0.5</v>
      </c>
    </row>
    <row r="216" spans="1:7" x14ac:dyDescent="0.25">
      <c r="A216" s="3">
        <v>12162333</v>
      </c>
      <c r="B216" s="3">
        <v>0.63300000000000001</v>
      </c>
      <c r="C216" s="3">
        <v>34</v>
      </c>
      <c r="D216" s="3">
        <v>8.5</v>
      </c>
      <c r="E216" s="3">
        <f>+VLOOKUP(A216,'[1]Reporte Canjes Meals'!$A:$K,10,0)</f>
        <v>18</v>
      </c>
      <c r="F216" s="3">
        <f t="shared" si="6"/>
        <v>4.5</v>
      </c>
      <c r="G216" s="3">
        <f t="shared" si="7"/>
        <v>4</v>
      </c>
    </row>
    <row r="217" spans="1:7" x14ac:dyDescent="0.25">
      <c r="A217" s="3">
        <v>12162356</v>
      </c>
      <c r="B217" s="3">
        <v>0.24199999999999999</v>
      </c>
      <c r="C217" s="3">
        <v>13</v>
      </c>
      <c r="D217" s="3">
        <v>3.25</v>
      </c>
      <c r="E217" s="3">
        <f>+VLOOKUP(A217,'[1]Reporte Canjes Meals'!$A:$K,10,0)</f>
        <v>0</v>
      </c>
      <c r="F217" s="3">
        <f t="shared" si="6"/>
        <v>0</v>
      </c>
      <c r="G217" s="3">
        <f t="shared" si="7"/>
        <v>3.25</v>
      </c>
    </row>
    <row r="218" spans="1:7" x14ac:dyDescent="0.25">
      <c r="A218" s="3">
        <v>12164753</v>
      </c>
      <c r="B218" s="3">
        <v>0.74299999999999999</v>
      </c>
      <c r="C218" s="3">
        <v>40</v>
      </c>
      <c r="D218" s="3">
        <v>10</v>
      </c>
      <c r="E218" s="3">
        <f>+VLOOKUP(A218,'[1]Reporte Canjes Meals'!$A:$K,10,0)</f>
        <v>28</v>
      </c>
      <c r="F218" s="3">
        <f t="shared" si="6"/>
        <v>7</v>
      </c>
      <c r="G218" s="3">
        <f t="shared" si="7"/>
        <v>3</v>
      </c>
    </row>
    <row r="219" spans="1:7" x14ac:dyDescent="0.25">
      <c r="A219" s="3">
        <v>12171306</v>
      </c>
      <c r="B219" s="3">
        <v>0.16700000000000001</v>
      </c>
      <c r="C219" s="3">
        <v>9</v>
      </c>
      <c r="D219" s="3">
        <v>2.25</v>
      </c>
      <c r="E219" s="3">
        <f>+VLOOKUP(A219,'[1]Reporte Canjes Meals'!$A:$K,10,0)</f>
        <v>0</v>
      </c>
      <c r="F219" s="3">
        <f t="shared" si="6"/>
        <v>0</v>
      </c>
      <c r="G219" s="3">
        <f t="shared" si="7"/>
        <v>2.25</v>
      </c>
    </row>
    <row r="220" spans="1:7" x14ac:dyDescent="0.25">
      <c r="A220" s="3">
        <v>12185208</v>
      </c>
      <c r="B220" s="3">
        <v>1.9E-2</v>
      </c>
      <c r="C220" s="3">
        <v>1</v>
      </c>
      <c r="D220" s="3">
        <v>0.25</v>
      </c>
      <c r="E220" s="3">
        <f>+VLOOKUP(A220,'[1]Reporte Canjes Meals'!$A:$K,10,0)</f>
        <v>0</v>
      </c>
      <c r="F220" s="3">
        <f t="shared" si="6"/>
        <v>0</v>
      </c>
      <c r="G220" s="3">
        <f t="shared" si="7"/>
        <v>0.25</v>
      </c>
    </row>
    <row r="221" spans="1:7" x14ac:dyDescent="0.25">
      <c r="A221" s="3">
        <v>12190049</v>
      </c>
      <c r="B221" s="3">
        <v>7.3999999999999996E-2</v>
      </c>
      <c r="C221" s="3">
        <v>4</v>
      </c>
      <c r="D221" s="3">
        <v>1</v>
      </c>
      <c r="E221" s="3">
        <f>+VLOOKUP(A221,'[1]Reporte Canjes Meals'!$A:$K,10,0)</f>
        <v>0</v>
      </c>
      <c r="F221" s="3">
        <f t="shared" si="6"/>
        <v>0</v>
      </c>
      <c r="G221" s="3">
        <f t="shared" si="7"/>
        <v>1</v>
      </c>
    </row>
    <row r="222" spans="1:7" x14ac:dyDescent="0.25">
      <c r="A222" s="3">
        <v>12192504</v>
      </c>
      <c r="B222" s="3">
        <v>0.20499999999999999</v>
      </c>
      <c r="C222" s="3">
        <v>11</v>
      </c>
      <c r="D222" s="3">
        <v>2.75</v>
      </c>
      <c r="E222" s="3">
        <f>+VLOOKUP(A222,'[1]Reporte Canjes Meals'!$A:$K,10,0)</f>
        <v>0</v>
      </c>
      <c r="F222" s="3">
        <f t="shared" si="6"/>
        <v>0</v>
      </c>
      <c r="G222" s="3">
        <f t="shared" si="7"/>
        <v>2.75</v>
      </c>
    </row>
    <row r="223" spans="1:7" x14ac:dyDescent="0.25">
      <c r="A223" s="3">
        <v>12201923</v>
      </c>
      <c r="B223" s="3">
        <v>0.315</v>
      </c>
      <c r="C223" s="3">
        <v>17</v>
      </c>
      <c r="D223" s="3">
        <v>4.25</v>
      </c>
      <c r="E223" s="3">
        <f>+VLOOKUP(A223,'[1]Reporte Canjes Meals'!$A:$K,10,0)</f>
        <v>12</v>
      </c>
      <c r="F223" s="3">
        <f t="shared" si="6"/>
        <v>3</v>
      </c>
      <c r="G223" s="3">
        <f t="shared" si="7"/>
        <v>1.25</v>
      </c>
    </row>
    <row r="224" spans="1:7" x14ac:dyDescent="0.25">
      <c r="A224" s="3">
        <v>12221043</v>
      </c>
      <c r="B224" s="3">
        <v>0.502</v>
      </c>
      <c r="C224" s="3">
        <v>27</v>
      </c>
      <c r="D224" s="3">
        <v>6.75</v>
      </c>
      <c r="E224" s="3">
        <f>+VLOOKUP(A224,'[1]Reporte Canjes Meals'!$A:$K,10,0)</f>
        <v>0</v>
      </c>
      <c r="F224" s="3">
        <f t="shared" si="6"/>
        <v>0</v>
      </c>
      <c r="G224" s="3">
        <f t="shared" si="7"/>
        <v>6.75</v>
      </c>
    </row>
    <row r="225" spans="1:7" x14ac:dyDescent="0.25">
      <c r="A225" s="3">
        <v>12229541</v>
      </c>
      <c r="B225" s="3">
        <v>0.112</v>
      </c>
      <c r="C225" s="3">
        <v>6</v>
      </c>
      <c r="D225" s="3">
        <v>1.5</v>
      </c>
      <c r="E225" s="3">
        <f>+VLOOKUP(A225,'[1]Reporte Canjes Meals'!$A:$K,10,0)</f>
        <v>0</v>
      </c>
      <c r="F225" s="3">
        <f t="shared" si="6"/>
        <v>0</v>
      </c>
      <c r="G225" s="3">
        <f t="shared" si="7"/>
        <v>1.5</v>
      </c>
    </row>
    <row r="226" spans="1:7" x14ac:dyDescent="0.25">
      <c r="A226" s="3">
        <v>12240839</v>
      </c>
      <c r="B226" s="3">
        <v>0.223</v>
      </c>
      <c r="C226" s="3">
        <v>12</v>
      </c>
      <c r="D226" s="3">
        <v>3</v>
      </c>
      <c r="E226" s="3">
        <f>+VLOOKUP(A226,'[1]Reporte Canjes Meals'!$A:$K,10,0)</f>
        <v>11</v>
      </c>
      <c r="F226" s="3">
        <f t="shared" si="6"/>
        <v>2.75</v>
      </c>
      <c r="G226" s="3">
        <f t="shared" si="7"/>
        <v>0.25</v>
      </c>
    </row>
    <row r="227" spans="1:7" x14ac:dyDescent="0.25">
      <c r="A227" s="3">
        <v>12252183</v>
      </c>
      <c r="B227" s="3">
        <v>0.29799999999999999</v>
      </c>
      <c r="C227" s="3">
        <v>16</v>
      </c>
      <c r="D227" s="3">
        <v>4</v>
      </c>
      <c r="E227" s="3">
        <f>+VLOOKUP(A227,'[1]Reporte Canjes Meals'!$A:$K,10,0)</f>
        <v>10</v>
      </c>
      <c r="F227" s="3">
        <f t="shared" si="6"/>
        <v>2.5</v>
      </c>
      <c r="G227" s="3">
        <f t="shared" si="7"/>
        <v>1.5</v>
      </c>
    </row>
    <row r="228" spans="1:7" x14ac:dyDescent="0.25">
      <c r="A228" s="3">
        <v>12254584</v>
      </c>
      <c r="B228" s="3">
        <v>0.13100000000000001</v>
      </c>
      <c r="C228" s="3">
        <v>7</v>
      </c>
      <c r="D228" s="3">
        <v>1.75</v>
      </c>
      <c r="E228" s="3">
        <f>+VLOOKUP(A228,'[1]Reporte Canjes Meals'!$A:$K,10,0)</f>
        <v>7</v>
      </c>
      <c r="F228" s="3">
        <f t="shared" si="6"/>
        <v>1.75</v>
      </c>
      <c r="G228" s="3">
        <f t="shared" si="7"/>
        <v>0</v>
      </c>
    </row>
    <row r="229" spans="1:7" x14ac:dyDescent="0.25">
      <c r="A229" s="3">
        <v>12264660</v>
      </c>
      <c r="B229" s="3">
        <v>0.112</v>
      </c>
      <c r="C229" s="3">
        <v>6</v>
      </c>
      <c r="D229" s="3">
        <v>1.5</v>
      </c>
      <c r="E229" s="3">
        <f>+VLOOKUP(A229,'[1]Reporte Canjes Meals'!$A:$K,10,0)</f>
        <v>0</v>
      </c>
      <c r="F229" s="3">
        <f t="shared" si="6"/>
        <v>0</v>
      </c>
      <c r="G229" s="3">
        <f t="shared" si="7"/>
        <v>1.5</v>
      </c>
    </row>
    <row r="230" spans="1:7" x14ac:dyDescent="0.25">
      <c r="A230" s="3">
        <v>12268350</v>
      </c>
      <c r="B230" s="3">
        <v>0.112</v>
      </c>
      <c r="C230" s="3">
        <v>6</v>
      </c>
      <c r="D230" s="3">
        <v>1.5</v>
      </c>
      <c r="E230" s="3">
        <f>+VLOOKUP(A230,'[1]Reporte Canjes Meals'!$A:$K,10,0)</f>
        <v>0</v>
      </c>
      <c r="F230" s="3">
        <f t="shared" si="6"/>
        <v>0</v>
      </c>
      <c r="G230" s="3">
        <f t="shared" si="7"/>
        <v>1.5</v>
      </c>
    </row>
    <row r="231" spans="1:7" x14ac:dyDescent="0.25">
      <c r="A231" s="3">
        <v>12271672</v>
      </c>
      <c r="B231" s="3">
        <v>9.2999999999999999E-2</v>
      </c>
      <c r="C231" s="3">
        <v>5</v>
      </c>
      <c r="D231" s="3">
        <v>1.25</v>
      </c>
      <c r="E231" s="3">
        <f>+VLOOKUP(A231,'[1]Reporte Canjes Meals'!$A:$K,10,0)</f>
        <v>5</v>
      </c>
      <c r="F231" s="3">
        <f t="shared" si="6"/>
        <v>1.25</v>
      </c>
      <c r="G231" s="3">
        <f t="shared" si="7"/>
        <v>0</v>
      </c>
    </row>
    <row r="232" spans="1:7" x14ac:dyDescent="0.25">
      <c r="A232" s="3">
        <v>12278991</v>
      </c>
      <c r="B232" s="3">
        <v>0.111</v>
      </c>
      <c r="C232" s="3">
        <v>6</v>
      </c>
      <c r="D232" s="3">
        <v>1.5</v>
      </c>
      <c r="E232" s="3">
        <f>+VLOOKUP(A232,'[1]Reporte Canjes Meals'!$A:$K,10,0)</f>
        <v>0</v>
      </c>
      <c r="F232" s="3">
        <f t="shared" si="6"/>
        <v>0</v>
      </c>
      <c r="G232" s="3">
        <f t="shared" si="7"/>
        <v>1.5</v>
      </c>
    </row>
    <row r="233" spans="1:7" x14ac:dyDescent="0.25">
      <c r="A233" s="3">
        <v>12294478</v>
      </c>
      <c r="B233" s="3">
        <v>0.112</v>
      </c>
      <c r="C233" s="3">
        <v>6</v>
      </c>
      <c r="D233" s="3">
        <v>1.5</v>
      </c>
      <c r="E233" s="3">
        <f>+VLOOKUP(A233,'[1]Reporte Canjes Meals'!$A:$K,10,0)</f>
        <v>0</v>
      </c>
      <c r="F233" s="3">
        <f t="shared" si="6"/>
        <v>0</v>
      </c>
      <c r="G233" s="3">
        <f t="shared" si="7"/>
        <v>1.5</v>
      </c>
    </row>
    <row r="234" spans="1:7" x14ac:dyDescent="0.25">
      <c r="A234" s="3">
        <v>12301188</v>
      </c>
      <c r="B234" s="3">
        <v>0.68799999999999994</v>
      </c>
      <c r="C234" s="3">
        <v>37</v>
      </c>
      <c r="D234" s="3">
        <v>9.25</v>
      </c>
      <c r="E234" s="3">
        <f>+VLOOKUP(A234,'[1]Reporte Canjes Meals'!$A:$K,10,0)</f>
        <v>0</v>
      </c>
      <c r="F234" s="3">
        <f t="shared" si="6"/>
        <v>0</v>
      </c>
      <c r="G234" s="3">
        <f t="shared" si="7"/>
        <v>9.25</v>
      </c>
    </row>
    <row r="235" spans="1:7" x14ac:dyDescent="0.25">
      <c r="A235" s="3">
        <v>12310001</v>
      </c>
      <c r="B235" s="3">
        <v>5.6000000000000001E-2</v>
      </c>
      <c r="C235" s="3">
        <v>3</v>
      </c>
      <c r="D235" s="3">
        <v>0.75</v>
      </c>
      <c r="E235" s="3">
        <f>+VLOOKUP(A235,'[1]Reporte Canjes Meals'!$A:$K,10,0)</f>
        <v>0</v>
      </c>
      <c r="F235" s="3">
        <f t="shared" si="6"/>
        <v>0</v>
      </c>
      <c r="G235" s="3">
        <f t="shared" si="7"/>
        <v>0.75</v>
      </c>
    </row>
    <row r="236" spans="1:7" x14ac:dyDescent="0.25">
      <c r="A236" s="3">
        <v>12310060</v>
      </c>
      <c r="B236" s="3">
        <v>0.112</v>
      </c>
      <c r="C236" s="3">
        <v>6</v>
      </c>
      <c r="D236" s="3">
        <v>1.5</v>
      </c>
      <c r="E236" s="3">
        <f>+VLOOKUP(A236,'[1]Reporte Canjes Meals'!$A:$K,10,0)</f>
        <v>6</v>
      </c>
      <c r="F236" s="3">
        <f t="shared" si="6"/>
        <v>1.5</v>
      </c>
      <c r="G236" s="3">
        <f t="shared" si="7"/>
        <v>0</v>
      </c>
    </row>
    <row r="237" spans="1:7" x14ac:dyDescent="0.25">
      <c r="A237" s="3">
        <v>12391812</v>
      </c>
      <c r="B237" s="3">
        <v>1.9E-2</v>
      </c>
      <c r="C237" s="3">
        <v>1</v>
      </c>
      <c r="D237" s="3">
        <v>0.25</v>
      </c>
      <c r="E237" s="3">
        <f>+VLOOKUP(A237,'[1]Reporte Canjes Meals'!$A:$K,10,0)</f>
        <v>1</v>
      </c>
      <c r="F237" s="3">
        <f t="shared" si="6"/>
        <v>0.25</v>
      </c>
      <c r="G237" s="3">
        <f t="shared" si="7"/>
        <v>0</v>
      </c>
    </row>
    <row r="238" spans="1:7" x14ac:dyDescent="0.25">
      <c r="A238" s="3">
        <v>12395424</v>
      </c>
      <c r="B238" s="3">
        <v>0.16800000000000001</v>
      </c>
      <c r="C238" s="3">
        <v>9</v>
      </c>
      <c r="D238" s="3">
        <v>2.25</v>
      </c>
      <c r="E238" s="3">
        <f>+VLOOKUP(A238,'[1]Reporte Canjes Meals'!$A:$K,10,0)</f>
        <v>9</v>
      </c>
      <c r="F238" s="3">
        <f t="shared" si="6"/>
        <v>2.25</v>
      </c>
      <c r="G238" s="3">
        <f t="shared" si="7"/>
        <v>0</v>
      </c>
    </row>
    <row r="239" spans="1:7" x14ac:dyDescent="0.25">
      <c r="A239" s="3">
        <v>12406507</v>
      </c>
      <c r="B239" s="3">
        <v>1.9E-2</v>
      </c>
      <c r="C239" s="3">
        <v>1</v>
      </c>
      <c r="D239" s="3">
        <v>0.25</v>
      </c>
      <c r="E239" s="3">
        <f>+VLOOKUP(A239,'[1]Reporte Canjes Meals'!$A:$K,10,0)</f>
        <v>1</v>
      </c>
      <c r="F239" s="3">
        <f t="shared" si="6"/>
        <v>0.25</v>
      </c>
      <c r="G239" s="3">
        <f t="shared" si="7"/>
        <v>0</v>
      </c>
    </row>
    <row r="240" spans="1:7" x14ac:dyDescent="0.25">
      <c r="A240" s="3">
        <v>12415786</v>
      </c>
      <c r="B240" s="3">
        <v>0.44600000000000001</v>
      </c>
      <c r="C240" s="3">
        <v>24</v>
      </c>
      <c r="D240" s="3">
        <v>6</v>
      </c>
      <c r="E240" s="3">
        <f>+VLOOKUP(A240,'[1]Reporte Canjes Meals'!$A:$K,10,0)</f>
        <v>24</v>
      </c>
      <c r="F240" s="3">
        <f t="shared" si="6"/>
        <v>6</v>
      </c>
      <c r="G240" s="3">
        <f t="shared" si="7"/>
        <v>0</v>
      </c>
    </row>
    <row r="241" spans="1:7" x14ac:dyDescent="0.25">
      <c r="A241" s="3">
        <v>12415838</v>
      </c>
      <c r="B241" s="3">
        <v>0.223</v>
      </c>
      <c r="C241" s="3">
        <v>12</v>
      </c>
      <c r="D241" s="3">
        <v>3</v>
      </c>
      <c r="E241" s="3" t="e">
        <f>+VLOOKUP(A241,'[1]Reporte Canjes Meals'!$A:$K,10,0)</f>
        <v>#N/A</v>
      </c>
      <c r="F241" s="3" t="e">
        <f t="shared" si="6"/>
        <v>#N/A</v>
      </c>
      <c r="G241" s="3" t="e">
        <f t="shared" si="7"/>
        <v>#N/A</v>
      </c>
    </row>
    <row r="242" spans="1:7" x14ac:dyDescent="0.25">
      <c r="A242" s="3">
        <v>12416806</v>
      </c>
      <c r="B242" s="3">
        <v>0.29799999999999999</v>
      </c>
      <c r="C242" s="3">
        <v>16</v>
      </c>
      <c r="D242" s="3">
        <v>4</v>
      </c>
      <c r="E242" s="3">
        <f>+VLOOKUP(A242,'[1]Reporte Canjes Meals'!$A:$K,10,0)</f>
        <v>0</v>
      </c>
      <c r="F242" s="3">
        <f t="shared" si="6"/>
        <v>0</v>
      </c>
      <c r="G242" s="3">
        <f t="shared" si="7"/>
        <v>4</v>
      </c>
    </row>
    <row r="243" spans="1:7" x14ac:dyDescent="0.25">
      <c r="A243" s="3">
        <v>12488575</v>
      </c>
      <c r="B243" s="3">
        <v>9.4E-2</v>
      </c>
      <c r="C243" s="3">
        <v>5</v>
      </c>
      <c r="D243" s="3">
        <v>1.25</v>
      </c>
      <c r="E243" s="3">
        <f>+VLOOKUP(A243,'[1]Reporte Canjes Meals'!$A:$K,10,0)</f>
        <v>0</v>
      </c>
      <c r="F243" s="3">
        <f t="shared" si="6"/>
        <v>0</v>
      </c>
      <c r="G243" s="3">
        <f t="shared" si="7"/>
        <v>1.25</v>
      </c>
    </row>
    <row r="244" spans="1:7" x14ac:dyDescent="0.25">
      <c r="A244" s="3">
        <v>12489045</v>
      </c>
      <c r="B244" s="3">
        <v>9.2999999999999999E-2</v>
      </c>
      <c r="C244" s="3">
        <v>5</v>
      </c>
      <c r="D244" s="3">
        <v>1.25</v>
      </c>
      <c r="E244" s="3">
        <f>+VLOOKUP(A244,'[1]Reporte Canjes Meals'!$A:$K,10,0)</f>
        <v>5</v>
      </c>
      <c r="F244" s="3">
        <f t="shared" si="6"/>
        <v>1.25</v>
      </c>
      <c r="G244" s="3">
        <f t="shared" si="7"/>
        <v>0</v>
      </c>
    </row>
    <row r="245" spans="1:7" x14ac:dyDescent="0.25">
      <c r="A245" s="3">
        <v>12491606</v>
      </c>
      <c r="B245" s="3">
        <v>1.9E-2</v>
      </c>
      <c r="C245" s="3">
        <v>1</v>
      </c>
      <c r="D245" s="3">
        <v>0.25</v>
      </c>
      <c r="E245" s="3">
        <f>+VLOOKUP(A245,'[1]Reporte Canjes Meals'!$A:$K,10,0)</f>
        <v>1</v>
      </c>
      <c r="F245" s="3">
        <f t="shared" si="6"/>
        <v>0.25</v>
      </c>
      <c r="G245" s="3">
        <f t="shared" si="7"/>
        <v>0</v>
      </c>
    </row>
    <row r="246" spans="1:7" x14ac:dyDescent="0.25">
      <c r="A246" s="3">
        <v>12502143</v>
      </c>
      <c r="B246" s="3">
        <v>0.39</v>
      </c>
      <c r="C246" s="3">
        <v>21</v>
      </c>
      <c r="D246" s="3">
        <v>5.25</v>
      </c>
      <c r="E246" s="3">
        <f>+VLOOKUP(A246,'[1]Reporte Canjes Meals'!$A:$K,10,0)</f>
        <v>9</v>
      </c>
      <c r="F246" s="3">
        <f t="shared" si="6"/>
        <v>2.25</v>
      </c>
      <c r="G246" s="3">
        <f t="shared" si="7"/>
        <v>3</v>
      </c>
    </row>
    <row r="247" spans="1:7" x14ac:dyDescent="0.25">
      <c r="A247" s="3">
        <v>12502278</v>
      </c>
      <c r="B247" s="3">
        <v>0.186</v>
      </c>
      <c r="C247" s="3">
        <v>10</v>
      </c>
      <c r="D247" s="3">
        <v>2.5</v>
      </c>
      <c r="E247" s="3">
        <f>+VLOOKUP(A247,'[1]Reporte Canjes Meals'!$A:$K,10,0)</f>
        <v>2</v>
      </c>
      <c r="F247" s="3">
        <f t="shared" si="6"/>
        <v>0.5</v>
      </c>
      <c r="G247" s="3">
        <f t="shared" si="7"/>
        <v>2</v>
      </c>
    </row>
    <row r="248" spans="1:7" x14ac:dyDescent="0.25">
      <c r="A248" s="3">
        <v>12508261</v>
      </c>
      <c r="B248" s="3">
        <v>0.48399999999999999</v>
      </c>
      <c r="C248" s="3">
        <v>26</v>
      </c>
      <c r="D248" s="3">
        <v>6.5</v>
      </c>
      <c r="E248" s="3">
        <f>+VLOOKUP(A248,'[1]Reporte Canjes Meals'!$A:$K,10,0)</f>
        <v>20</v>
      </c>
      <c r="F248" s="3">
        <f t="shared" si="6"/>
        <v>5</v>
      </c>
      <c r="G248" s="3">
        <f t="shared" si="7"/>
        <v>1.5</v>
      </c>
    </row>
    <row r="249" spans="1:7" x14ac:dyDescent="0.25">
      <c r="A249" s="3">
        <v>12527186</v>
      </c>
      <c r="B249" s="3">
        <v>0.186</v>
      </c>
      <c r="C249" s="3">
        <v>10</v>
      </c>
      <c r="D249" s="3">
        <v>2.5</v>
      </c>
      <c r="E249" s="3">
        <f>+VLOOKUP(A249,'[1]Reporte Canjes Meals'!$A:$K,10,0)</f>
        <v>6</v>
      </c>
      <c r="F249" s="3">
        <f t="shared" si="6"/>
        <v>1.5</v>
      </c>
      <c r="G249" s="3">
        <f t="shared" si="7"/>
        <v>1</v>
      </c>
    </row>
    <row r="250" spans="1:7" x14ac:dyDescent="0.25">
      <c r="A250" s="3">
        <v>12531617</v>
      </c>
      <c r="B250" s="3">
        <v>3.6999999999999998E-2</v>
      </c>
      <c r="C250" s="3">
        <v>2</v>
      </c>
      <c r="D250" s="3">
        <v>0.5</v>
      </c>
      <c r="E250" s="3">
        <f>+VLOOKUP(A250,'[1]Reporte Canjes Meals'!$A:$K,10,0)</f>
        <v>2</v>
      </c>
      <c r="F250" s="3">
        <f t="shared" si="6"/>
        <v>0.5</v>
      </c>
      <c r="G250" s="3">
        <f t="shared" si="7"/>
        <v>0</v>
      </c>
    </row>
    <row r="251" spans="1:7" x14ac:dyDescent="0.25">
      <c r="A251" s="3">
        <v>12534912</v>
      </c>
      <c r="B251" s="3">
        <v>7.3999999999999996E-2</v>
      </c>
      <c r="C251" s="3">
        <v>4</v>
      </c>
      <c r="D251" s="3">
        <v>1</v>
      </c>
      <c r="E251" s="3">
        <f>+VLOOKUP(A251,'[1]Reporte Canjes Meals'!$A:$K,10,0)</f>
        <v>4</v>
      </c>
      <c r="F251" s="3">
        <f t="shared" si="6"/>
        <v>1</v>
      </c>
      <c r="G251" s="3">
        <f t="shared" si="7"/>
        <v>0</v>
      </c>
    </row>
    <row r="252" spans="1:7" x14ac:dyDescent="0.25">
      <c r="A252" s="3">
        <v>12540983</v>
      </c>
      <c r="B252" s="3">
        <v>1.6180000000000001</v>
      </c>
      <c r="C252" s="3">
        <v>87</v>
      </c>
      <c r="D252" s="3">
        <v>21.75</v>
      </c>
      <c r="E252" s="3">
        <f>+VLOOKUP(A252,'[1]Reporte Canjes Meals'!$A:$K,10,0)</f>
        <v>61</v>
      </c>
      <c r="F252" s="3">
        <f t="shared" si="6"/>
        <v>15.25</v>
      </c>
      <c r="G252" s="3">
        <f t="shared" si="7"/>
        <v>6.5</v>
      </c>
    </row>
    <row r="253" spans="1:7" x14ac:dyDescent="0.25">
      <c r="A253" s="3">
        <v>12541801</v>
      </c>
      <c r="B253" s="3">
        <v>1.9E-2</v>
      </c>
      <c r="C253" s="3">
        <v>1</v>
      </c>
      <c r="D253" s="3">
        <v>0.25</v>
      </c>
      <c r="E253" s="3">
        <f>+VLOOKUP(A253,'[1]Reporte Canjes Meals'!$A:$K,10,0)</f>
        <v>0</v>
      </c>
      <c r="F253" s="3">
        <f t="shared" si="6"/>
        <v>0</v>
      </c>
      <c r="G253" s="3">
        <f t="shared" si="7"/>
        <v>0.25</v>
      </c>
    </row>
    <row r="254" spans="1:7" x14ac:dyDescent="0.25">
      <c r="A254" s="3">
        <v>12544541</v>
      </c>
      <c r="B254" s="3">
        <v>0.53900000000000003</v>
      </c>
      <c r="C254" s="3">
        <v>29</v>
      </c>
      <c r="D254" s="3">
        <v>7.25</v>
      </c>
      <c r="E254" s="3">
        <f>+VLOOKUP(A254,'[1]Reporte Canjes Meals'!$A:$K,10,0)</f>
        <v>19</v>
      </c>
      <c r="F254" s="3">
        <f t="shared" si="6"/>
        <v>4.75</v>
      </c>
      <c r="G254" s="3">
        <f t="shared" si="7"/>
        <v>2.5</v>
      </c>
    </row>
    <row r="255" spans="1:7" x14ac:dyDescent="0.25">
      <c r="A255" s="3">
        <v>12548114</v>
      </c>
      <c r="B255" s="3">
        <v>0.112</v>
      </c>
      <c r="C255" s="3">
        <v>6</v>
      </c>
      <c r="D255" s="3">
        <v>1.5</v>
      </c>
      <c r="E255" s="3">
        <f>+VLOOKUP(A255,'[1]Reporte Canjes Meals'!$A:$K,10,0)</f>
        <v>0</v>
      </c>
      <c r="F255" s="3">
        <f t="shared" si="6"/>
        <v>0</v>
      </c>
      <c r="G255" s="3">
        <f t="shared" si="7"/>
        <v>1.5</v>
      </c>
    </row>
    <row r="256" spans="1:7" x14ac:dyDescent="0.25">
      <c r="A256" s="3">
        <v>12551627</v>
      </c>
      <c r="B256" s="3">
        <v>1.9E-2</v>
      </c>
      <c r="C256" s="3">
        <v>1</v>
      </c>
      <c r="D256" s="3">
        <v>0.25</v>
      </c>
      <c r="E256" s="3">
        <f>+VLOOKUP(A256,'[1]Reporte Canjes Meals'!$A:$K,10,0)</f>
        <v>1</v>
      </c>
      <c r="F256" s="3">
        <f t="shared" si="6"/>
        <v>0.25</v>
      </c>
      <c r="G256" s="3">
        <f t="shared" si="7"/>
        <v>0</v>
      </c>
    </row>
    <row r="257" spans="1:7" x14ac:dyDescent="0.25">
      <c r="A257" s="3">
        <v>12570577</v>
      </c>
      <c r="B257" s="3">
        <v>0.24199999999999999</v>
      </c>
      <c r="C257" s="3">
        <v>13</v>
      </c>
      <c r="D257" s="3">
        <v>3.25</v>
      </c>
      <c r="E257" s="3">
        <f>+VLOOKUP(A257,'[1]Reporte Canjes Meals'!$A:$K,10,0)</f>
        <v>9</v>
      </c>
      <c r="F257" s="3">
        <f t="shared" si="6"/>
        <v>2.25</v>
      </c>
      <c r="G257" s="3">
        <f t="shared" si="7"/>
        <v>1</v>
      </c>
    </row>
    <row r="258" spans="1:7" x14ac:dyDescent="0.25">
      <c r="A258" s="3">
        <v>12570601</v>
      </c>
      <c r="B258" s="3">
        <v>0.24199999999999999</v>
      </c>
      <c r="C258" s="3">
        <v>13</v>
      </c>
      <c r="D258" s="3">
        <v>3.25</v>
      </c>
      <c r="E258" s="3">
        <f>+VLOOKUP(A258,'[1]Reporte Canjes Meals'!$A:$K,10,0)</f>
        <v>0</v>
      </c>
      <c r="F258" s="3">
        <f t="shared" si="6"/>
        <v>0</v>
      </c>
      <c r="G258" s="3">
        <f t="shared" si="7"/>
        <v>3.25</v>
      </c>
    </row>
    <row r="259" spans="1:7" x14ac:dyDescent="0.25">
      <c r="A259" s="3">
        <v>12571719</v>
      </c>
      <c r="B259" s="3">
        <v>5.6000000000000001E-2</v>
      </c>
      <c r="C259" s="3">
        <v>3</v>
      </c>
      <c r="D259" s="3">
        <v>0.75</v>
      </c>
      <c r="E259" s="3">
        <f>+VLOOKUP(A259,'[1]Reporte Canjes Meals'!$A:$K,10,0)</f>
        <v>2</v>
      </c>
      <c r="F259" s="3">
        <f t="shared" ref="F259:F322" si="8">+E259/4</f>
        <v>0.5</v>
      </c>
      <c r="G259" s="3">
        <f t="shared" ref="G259:G322" si="9">+D259-F259</f>
        <v>0.25</v>
      </c>
    </row>
    <row r="260" spans="1:7" x14ac:dyDescent="0.25">
      <c r="A260" s="3">
        <v>12574887</v>
      </c>
      <c r="B260" s="3">
        <v>0.16800000000000001</v>
      </c>
      <c r="C260" s="3">
        <v>9</v>
      </c>
      <c r="D260" s="3">
        <v>2.25</v>
      </c>
      <c r="E260" s="3">
        <f>+VLOOKUP(A260,'[1]Reporte Canjes Meals'!$A:$K,10,0)</f>
        <v>9</v>
      </c>
      <c r="F260" s="3">
        <f t="shared" si="8"/>
        <v>2.25</v>
      </c>
      <c r="G260" s="3">
        <f t="shared" si="9"/>
        <v>0</v>
      </c>
    </row>
    <row r="261" spans="1:7" x14ac:dyDescent="0.25">
      <c r="A261" s="3">
        <v>12579242</v>
      </c>
      <c r="B261" s="3">
        <v>0.52100000000000002</v>
      </c>
      <c r="C261" s="3">
        <v>28</v>
      </c>
      <c r="D261" s="3">
        <v>7</v>
      </c>
      <c r="E261" s="3">
        <f>+VLOOKUP(A261,'[1]Reporte Canjes Meals'!$A:$K,10,0)</f>
        <v>22</v>
      </c>
      <c r="F261" s="3">
        <f t="shared" si="8"/>
        <v>5.5</v>
      </c>
      <c r="G261" s="3">
        <f t="shared" si="9"/>
        <v>1.5</v>
      </c>
    </row>
    <row r="262" spans="1:7" x14ac:dyDescent="0.25">
      <c r="A262" s="3">
        <v>12613861</v>
      </c>
      <c r="B262" s="3">
        <v>0.502</v>
      </c>
      <c r="C262" s="3">
        <v>27</v>
      </c>
      <c r="D262" s="3">
        <v>6.75</v>
      </c>
      <c r="E262" s="3">
        <f>+VLOOKUP(A262,'[1]Reporte Canjes Meals'!$A:$K,10,0)</f>
        <v>27</v>
      </c>
      <c r="F262" s="3">
        <f t="shared" si="8"/>
        <v>6.75</v>
      </c>
      <c r="G262" s="3">
        <f t="shared" si="9"/>
        <v>0</v>
      </c>
    </row>
    <row r="263" spans="1:7" x14ac:dyDescent="0.25">
      <c r="A263" s="3">
        <v>12622480</v>
      </c>
      <c r="B263" s="3">
        <v>1.9E-2</v>
      </c>
      <c r="C263" s="3">
        <v>1</v>
      </c>
      <c r="D263" s="3">
        <v>0.25</v>
      </c>
      <c r="E263" s="3">
        <f>+VLOOKUP(A263,'[1]Reporte Canjes Meals'!$A:$K,10,0)</f>
        <v>0</v>
      </c>
      <c r="F263" s="3">
        <f t="shared" si="8"/>
        <v>0</v>
      </c>
      <c r="G263" s="3">
        <f t="shared" si="9"/>
        <v>0.25</v>
      </c>
    </row>
    <row r="264" spans="1:7" x14ac:dyDescent="0.25">
      <c r="A264" s="3">
        <v>12622539</v>
      </c>
      <c r="B264" s="3">
        <v>0.16700000000000001</v>
      </c>
      <c r="C264" s="3">
        <v>9</v>
      </c>
      <c r="D264" s="3">
        <v>2.25</v>
      </c>
      <c r="E264" s="3">
        <f>+VLOOKUP(A264,'[1]Reporte Canjes Meals'!$A:$K,10,0)</f>
        <v>0</v>
      </c>
      <c r="F264" s="3">
        <f t="shared" si="8"/>
        <v>0</v>
      </c>
      <c r="G264" s="3">
        <f t="shared" si="9"/>
        <v>2.25</v>
      </c>
    </row>
    <row r="265" spans="1:7" x14ac:dyDescent="0.25">
      <c r="A265" s="3">
        <v>12625544</v>
      </c>
      <c r="B265" s="3">
        <v>5.6000000000000001E-2</v>
      </c>
      <c r="C265" s="3">
        <v>3</v>
      </c>
      <c r="D265" s="3">
        <v>0.75</v>
      </c>
      <c r="E265" s="3">
        <f>+VLOOKUP(A265,'[1]Reporte Canjes Meals'!$A:$K,10,0)</f>
        <v>0</v>
      </c>
      <c r="F265" s="3">
        <f t="shared" si="8"/>
        <v>0</v>
      </c>
      <c r="G265" s="3">
        <f t="shared" si="9"/>
        <v>0.75</v>
      </c>
    </row>
    <row r="266" spans="1:7" x14ac:dyDescent="0.25">
      <c r="A266" s="3">
        <v>12646290</v>
      </c>
      <c r="B266" s="3">
        <v>0.52100000000000002</v>
      </c>
      <c r="C266" s="3">
        <v>28</v>
      </c>
      <c r="D266" s="3">
        <v>7</v>
      </c>
      <c r="E266" s="3">
        <f>+VLOOKUP(A266,'[1]Reporte Canjes Meals'!$A:$K,10,0)</f>
        <v>0</v>
      </c>
      <c r="F266" s="3">
        <f t="shared" si="8"/>
        <v>0</v>
      </c>
      <c r="G266" s="3">
        <f t="shared" si="9"/>
        <v>7</v>
      </c>
    </row>
    <row r="267" spans="1:7" x14ac:dyDescent="0.25">
      <c r="A267" s="3">
        <v>12697627</v>
      </c>
      <c r="B267" s="3">
        <v>9.2999999999999999E-2</v>
      </c>
      <c r="C267" s="3">
        <v>5</v>
      </c>
      <c r="D267" s="3">
        <v>1.25</v>
      </c>
      <c r="E267" s="3">
        <f>+VLOOKUP(A267,'[1]Reporte Canjes Meals'!$A:$K,10,0)</f>
        <v>0</v>
      </c>
      <c r="F267" s="3">
        <f t="shared" si="8"/>
        <v>0</v>
      </c>
      <c r="G267" s="3">
        <f t="shared" si="9"/>
        <v>1.25</v>
      </c>
    </row>
    <row r="268" spans="1:7" x14ac:dyDescent="0.25">
      <c r="A268" s="3">
        <v>12702991</v>
      </c>
      <c r="B268" s="3">
        <v>0.26100000000000001</v>
      </c>
      <c r="C268" s="3">
        <v>14</v>
      </c>
      <c r="D268" s="3">
        <v>3.5</v>
      </c>
      <c r="E268" s="3">
        <f>+VLOOKUP(A268,'[1]Reporte Canjes Meals'!$A:$K,10,0)</f>
        <v>20</v>
      </c>
      <c r="F268" s="3">
        <f t="shared" si="8"/>
        <v>5</v>
      </c>
      <c r="G268" s="3">
        <f t="shared" si="9"/>
        <v>-1.5</v>
      </c>
    </row>
    <row r="269" spans="1:7" x14ac:dyDescent="0.25">
      <c r="A269" s="3">
        <v>12705101</v>
      </c>
      <c r="B269" s="3">
        <v>0.29699999999999999</v>
      </c>
      <c r="C269" s="3">
        <v>16</v>
      </c>
      <c r="D269" s="3">
        <v>4</v>
      </c>
      <c r="E269" s="3">
        <f>+VLOOKUP(A269,'[1]Reporte Canjes Meals'!$A:$K,10,0)</f>
        <v>0</v>
      </c>
      <c r="F269" s="3">
        <f t="shared" si="8"/>
        <v>0</v>
      </c>
      <c r="G269" s="3">
        <f t="shared" si="9"/>
        <v>4</v>
      </c>
    </row>
    <row r="270" spans="1:7" x14ac:dyDescent="0.25">
      <c r="A270" s="3">
        <v>12706036</v>
      </c>
      <c r="B270" s="3">
        <v>0.112</v>
      </c>
      <c r="C270" s="3">
        <v>6</v>
      </c>
      <c r="D270" s="3">
        <v>1.5</v>
      </c>
      <c r="E270" s="3">
        <f>+VLOOKUP(A270,'[1]Reporte Canjes Meals'!$A:$K,10,0)</f>
        <v>0</v>
      </c>
      <c r="F270" s="3">
        <f t="shared" si="8"/>
        <v>0</v>
      </c>
      <c r="G270" s="3">
        <f t="shared" si="9"/>
        <v>1.5</v>
      </c>
    </row>
    <row r="271" spans="1:7" x14ac:dyDescent="0.25">
      <c r="A271" s="3">
        <v>12706073</v>
      </c>
      <c r="B271" s="3">
        <v>0.16700000000000001</v>
      </c>
      <c r="C271" s="3">
        <v>9</v>
      </c>
      <c r="D271" s="3">
        <v>2.25</v>
      </c>
      <c r="E271" s="3">
        <f>+VLOOKUP(A271,'[1]Reporte Canjes Meals'!$A:$K,10,0)</f>
        <v>0</v>
      </c>
      <c r="F271" s="3">
        <f t="shared" si="8"/>
        <v>0</v>
      </c>
      <c r="G271" s="3">
        <f t="shared" si="9"/>
        <v>2.25</v>
      </c>
    </row>
    <row r="272" spans="1:7" x14ac:dyDescent="0.25">
      <c r="A272" s="3">
        <v>12709100</v>
      </c>
      <c r="B272" s="3">
        <v>1.9E-2</v>
      </c>
      <c r="C272" s="3">
        <v>1</v>
      </c>
      <c r="D272" s="3">
        <v>0.25</v>
      </c>
      <c r="E272" s="3">
        <f>+VLOOKUP(A272,'[1]Reporte Canjes Meals'!$A:$K,10,0)</f>
        <v>0</v>
      </c>
      <c r="F272" s="3">
        <f t="shared" si="8"/>
        <v>0</v>
      </c>
      <c r="G272" s="3">
        <f t="shared" si="9"/>
        <v>0.25</v>
      </c>
    </row>
    <row r="273" spans="1:7" x14ac:dyDescent="0.25">
      <c r="A273" s="3">
        <v>12717051</v>
      </c>
      <c r="B273" s="3">
        <v>5.6000000000000001E-2</v>
      </c>
      <c r="C273" s="3">
        <v>3</v>
      </c>
      <c r="D273" s="3">
        <v>0.75</v>
      </c>
      <c r="E273" s="3">
        <f>+VLOOKUP(A273,'[1]Reporte Canjes Meals'!$A:$K,10,0)</f>
        <v>0</v>
      </c>
      <c r="F273" s="3">
        <f t="shared" si="8"/>
        <v>0</v>
      </c>
      <c r="G273" s="3">
        <f t="shared" si="9"/>
        <v>0.75</v>
      </c>
    </row>
    <row r="274" spans="1:7" x14ac:dyDescent="0.25">
      <c r="A274" s="3">
        <v>12726585</v>
      </c>
      <c r="B274" s="3">
        <v>7.3999999999999996E-2</v>
      </c>
      <c r="C274" s="3">
        <v>4</v>
      </c>
      <c r="D274" s="3">
        <v>1</v>
      </c>
      <c r="E274" s="3">
        <f>+VLOOKUP(A274,'[1]Reporte Canjes Meals'!$A:$K,10,0)</f>
        <v>0</v>
      </c>
      <c r="F274" s="3">
        <f t="shared" si="8"/>
        <v>0</v>
      </c>
      <c r="G274" s="3">
        <f t="shared" si="9"/>
        <v>1</v>
      </c>
    </row>
    <row r="275" spans="1:7" x14ac:dyDescent="0.25">
      <c r="A275" s="3">
        <v>12728731</v>
      </c>
      <c r="B275" s="3">
        <v>0.35299999999999998</v>
      </c>
      <c r="C275" s="3">
        <v>19</v>
      </c>
      <c r="D275" s="3">
        <v>4.75</v>
      </c>
      <c r="E275" s="3">
        <f>+VLOOKUP(A275,'[1]Reporte Canjes Meals'!$A:$K,10,0)</f>
        <v>10</v>
      </c>
      <c r="F275" s="3">
        <f t="shared" si="8"/>
        <v>2.5</v>
      </c>
      <c r="G275" s="3">
        <f t="shared" si="9"/>
        <v>2.25</v>
      </c>
    </row>
    <row r="276" spans="1:7" x14ac:dyDescent="0.25">
      <c r="A276" s="3">
        <v>12732085</v>
      </c>
      <c r="B276" s="3">
        <v>0.16800000000000001</v>
      </c>
      <c r="C276" s="3">
        <v>9</v>
      </c>
      <c r="D276" s="3">
        <v>2.25</v>
      </c>
      <c r="E276" s="3">
        <f>+VLOOKUP(A276,'[1]Reporte Canjes Meals'!$A:$K,10,0)</f>
        <v>0</v>
      </c>
      <c r="F276" s="3">
        <f t="shared" si="8"/>
        <v>0</v>
      </c>
      <c r="G276" s="3">
        <f t="shared" si="9"/>
        <v>2.25</v>
      </c>
    </row>
    <row r="277" spans="1:7" x14ac:dyDescent="0.25">
      <c r="A277" s="3">
        <v>12733195</v>
      </c>
      <c r="B277" s="3">
        <v>0.33500000000000002</v>
      </c>
      <c r="C277" s="3">
        <v>18</v>
      </c>
      <c r="D277" s="3">
        <v>4.5</v>
      </c>
      <c r="E277" s="3">
        <f>+VLOOKUP(A277,'[1]Reporte Canjes Meals'!$A:$K,10,0)</f>
        <v>12</v>
      </c>
      <c r="F277" s="3">
        <f t="shared" si="8"/>
        <v>3</v>
      </c>
      <c r="G277" s="3">
        <f t="shared" si="9"/>
        <v>1.5</v>
      </c>
    </row>
    <row r="278" spans="1:7" x14ac:dyDescent="0.25">
      <c r="A278" s="3">
        <v>12737781</v>
      </c>
      <c r="B278" s="3">
        <v>7.3999999999999996E-2</v>
      </c>
      <c r="C278" s="3">
        <v>4</v>
      </c>
      <c r="D278" s="3">
        <v>1</v>
      </c>
      <c r="E278" s="3">
        <f>+VLOOKUP(A278,'[1]Reporte Canjes Meals'!$A:$K,10,0)</f>
        <v>0</v>
      </c>
      <c r="F278" s="3">
        <f t="shared" si="8"/>
        <v>0</v>
      </c>
      <c r="G278" s="3">
        <f t="shared" si="9"/>
        <v>1</v>
      </c>
    </row>
    <row r="279" spans="1:7" x14ac:dyDescent="0.25">
      <c r="A279" s="3">
        <v>12752964</v>
      </c>
      <c r="B279" s="3">
        <v>0.24099999999999999</v>
      </c>
      <c r="C279" s="3">
        <v>13</v>
      </c>
      <c r="D279" s="3">
        <v>3.25</v>
      </c>
      <c r="E279" s="3">
        <f>+VLOOKUP(A279,'[1]Reporte Canjes Meals'!$A:$K,10,0)</f>
        <v>4</v>
      </c>
      <c r="F279" s="3">
        <f t="shared" si="8"/>
        <v>1</v>
      </c>
      <c r="G279" s="3">
        <f t="shared" si="9"/>
        <v>2.25</v>
      </c>
    </row>
    <row r="280" spans="1:7" x14ac:dyDescent="0.25">
      <c r="A280" s="3">
        <v>12756310</v>
      </c>
      <c r="B280" s="3">
        <v>0.186</v>
      </c>
      <c r="C280" s="3">
        <v>10</v>
      </c>
      <c r="D280" s="3">
        <v>2.5</v>
      </c>
      <c r="E280" s="3">
        <f>+VLOOKUP(A280,'[1]Reporte Canjes Meals'!$A:$K,10,0)</f>
        <v>14</v>
      </c>
      <c r="F280" s="3">
        <f t="shared" si="8"/>
        <v>3.5</v>
      </c>
      <c r="G280" s="3">
        <f t="shared" si="9"/>
        <v>-1</v>
      </c>
    </row>
    <row r="281" spans="1:7" x14ac:dyDescent="0.25">
      <c r="A281" s="3">
        <v>12760246</v>
      </c>
      <c r="B281" s="3">
        <v>1.863</v>
      </c>
      <c r="C281" s="3">
        <v>100</v>
      </c>
      <c r="D281" s="3">
        <v>25</v>
      </c>
      <c r="E281" s="3">
        <f>+VLOOKUP(A281,'[1]Reporte Canjes Meals'!$A:$K,10,0)</f>
        <v>23</v>
      </c>
      <c r="F281" s="3">
        <f t="shared" si="8"/>
        <v>5.75</v>
      </c>
      <c r="G281" s="3">
        <f t="shared" si="9"/>
        <v>19.25</v>
      </c>
    </row>
    <row r="282" spans="1:7" x14ac:dyDescent="0.25">
      <c r="A282" s="3">
        <v>12762279</v>
      </c>
      <c r="B282" s="3">
        <v>0.81899999999999995</v>
      </c>
      <c r="C282" s="3">
        <v>44</v>
      </c>
      <c r="D282" s="3">
        <v>11</v>
      </c>
      <c r="E282" s="3">
        <f>+VLOOKUP(A282,'[1]Reporte Canjes Meals'!$A:$K,10,0)</f>
        <v>0</v>
      </c>
      <c r="F282" s="3">
        <f t="shared" si="8"/>
        <v>0</v>
      </c>
      <c r="G282" s="3">
        <f t="shared" si="9"/>
        <v>11</v>
      </c>
    </row>
    <row r="283" spans="1:7" x14ac:dyDescent="0.25">
      <c r="A283" s="3">
        <v>12765813</v>
      </c>
      <c r="B283" s="3">
        <v>0.55800000000000005</v>
      </c>
      <c r="C283" s="3">
        <v>30</v>
      </c>
      <c r="D283" s="3">
        <v>7.5</v>
      </c>
      <c r="E283" s="3">
        <f>+VLOOKUP(A283,'[1]Reporte Canjes Meals'!$A:$K,10,0)</f>
        <v>21</v>
      </c>
      <c r="F283" s="3">
        <f t="shared" si="8"/>
        <v>5.25</v>
      </c>
      <c r="G283" s="3">
        <f t="shared" si="9"/>
        <v>2.25</v>
      </c>
    </row>
    <row r="284" spans="1:7" x14ac:dyDescent="0.25">
      <c r="A284" s="3">
        <v>12768518</v>
      </c>
      <c r="B284" s="3">
        <v>0.224</v>
      </c>
      <c r="C284" s="3">
        <v>12</v>
      </c>
      <c r="D284" s="3">
        <v>3</v>
      </c>
      <c r="E284" s="3">
        <f>+VLOOKUP(A284,'[1]Reporte Canjes Meals'!$A:$K,10,0)</f>
        <v>0</v>
      </c>
      <c r="F284" s="3">
        <f t="shared" si="8"/>
        <v>0</v>
      </c>
      <c r="G284" s="3">
        <f t="shared" si="9"/>
        <v>3</v>
      </c>
    </row>
    <row r="285" spans="1:7" x14ac:dyDescent="0.25">
      <c r="A285" s="3">
        <v>12768584</v>
      </c>
      <c r="B285" s="3">
        <v>0.24099999999999999</v>
      </c>
      <c r="C285" s="3">
        <v>13</v>
      </c>
      <c r="D285" s="3">
        <v>3.25</v>
      </c>
      <c r="E285" s="3">
        <f>+VLOOKUP(A285,'[1]Reporte Canjes Meals'!$A:$K,10,0)</f>
        <v>4</v>
      </c>
      <c r="F285" s="3">
        <f t="shared" si="8"/>
        <v>1</v>
      </c>
      <c r="G285" s="3">
        <f t="shared" si="9"/>
        <v>2.25</v>
      </c>
    </row>
    <row r="286" spans="1:7" x14ac:dyDescent="0.25">
      <c r="A286" s="3">
        <v>12769572</v>
      </c>
      <c r="B286" s="3">
        <v>7.3999999999999996E-2</v>
      </c>
      <c r="C286" s="3">
        <v>4</v>
      </c>
      <c r="D286" s="3">
        <v>1</v>
      </c>
      <c r="E286" s="3">
        <f>+VLOOKUP(A286,'[1]Reporte Canjes Meals'!$A:$K,10,0)</f>
        <v>0</v>
      </c>
      <c r="F286" s="3">
        <f t="shared" si="8"/>
        <v>0</v>
      </c>
      <c r="G286" s="3">
        <f t="shared" si="9"/>
        <v>1</v>
      </c>
    </row>
    <row r="287" spans="1:7" x14ac:dyDescent="0.25">
      <c r="A287" s="3">
        <v>12770288</v>
      </c>
      <c r="B287" s="3">
        <v>0.13</v>
      </c>
      <c r="C287" s="3">
        <v>7</v>
      </c>
      <c r="D287" s="3">
        <v>1.75</v>
      </c>
      <c r="E287" s="3">
        <f>+VLOOKUP(A287,'[1]Reporte Canjes Meals'!$A:$K,10,0)</f>
        <v>3</v>
      </c>
      <c r="F287" s="3">
        <f t="shared" si="8"/>
        <v>0.75</v>
      </c>
      <c r="G287" s="3">
        <f t="shared" si="9"/>
        <v>1</v>
      </c>
    </row>
    <row r="288" spans="1:7" x14ac:dyDescent="0.25">
      <c r="A288" s="3">
        <v>12772306</v>
      </c>
      <c r="B288" s="3">
        <v>1.9E-2</v>
      </c>
      <c r="C288" s="3">
        <v>1</v>
      </c>
      <c r="D288" s="3">
        <v>0.25</v>
      </c>
      <c r="E288" s="3">
        <f>+VLOOKUP(A288,'[1]Reporte Canjes Meals'!$A:$K,10,0)</f>
        <v>1</v>
      </c>
      <c r="F288" s="3">
        <f t="shared" si="8"/>
        <v>0.25</v>
      </c>
      <c r="G288" s="3">
        <f t="shared" si="9"/>
        <v>0</v>
      </c>
    </row>
    <row r="289" spans="1:7" x14ac:dyDescent="0.25">
      <c r="A289" s="3">
        <v>12780040</v>
      </c>
      <c r="B289" s="3">
        <v>0.61499999999999999</v>
      </c>
      <c r="C289" s="3">
        <v>33</v>
      </c>
      <c r="D289" s="3">
        <v>8.25</v>
      </c>
      <c r="E289" s="3">
        <f>+VLOOKUP(A289,'[1]Reporte Canjes Meals'!$A:$K,10,0)</f>
        <v>8</v>
      </c>
      <c r="F289" s="3">
        <f t="shared" si="8"/>
        <v>2</v>
      </c>
      <c r="G289" s="3">
        <f t="shared" si="9"/>
        <v>6.25</v>
      </c>
    </row>
    <row r="290" spans="1:7" x14ac:dyDescent="0.25">
      <c r="A290" s="3">
        <v>12780831</v>
      </c>
      <c r="B290" s="3">
        <v>5.6000000000000001E-2</v>
      </c>
      <c r="C290" s="3">
        <v>3</v>
      </c>
      <c r="D290" s="3">
        <v>0.75</v>
      </c>
      <c r="E290" s="3">
        <f>+VLOOKUP(A290,'[1]Reporte Canjes Meals'!$A:$K,10,0)</f>
        <v>0</v>
      </c>
      <c r="F290" s="3">
        <f t="shared" si="8"/>
        <v>0</v>
      </c>
      <c r="G290" s="3">
        <f t="shared" si="9"/>
        <v>0.75</v>
      </c>
    </row>
    <row r="291" spans="1:7" x14ac:dyDescent="0.25">
      <c r="A291" s="3">
        <v>12780931</v>
      </c>
      <c r="B291" s="3">
        <v>0.27800000000000002</v>
      </c>
      <c r="C291" s="3">
        <v>15</v>
      </c>
      <c r="D291" s="3">
        <v>3.75</v>
      </c>
      <c r="E291" s="3">
        <f>+VLOOKUP(A291,'[1]Reporte Canjes Meals'!$A:$K,10,0)</f>
        <v>9</v>
      </c>
      <c r="F291" s="3">
        <f t="shared" si="8"/>
        <v>2.25</v>
      </c>
      <c r="G291" s="3">
        <f t="shared" si="9"/>
        <v>1.5</v>
      </c>
    </row>
    <row r="292" spans="1:7" x14ac:dyDescent="0.25">
      <c r="A292" s="3">
        <v>12784908</v>
      </c>
      <c r="B292" s="3">
        <v>7.3999999999999996E-2</v>
      </c>
      <c r="C292" s="3">
        <v>4</v>
      </c>
      <c r="D292" s="3">
        <v>1</v>
      </c>
      <c r="E292" s="3">
        <f>+VLOOKUP(A292,'[1]Reporte Canjes Meals'!$A:$K,10,0)</f>
        <v>0</v>
      </c>
      <c r="F292" s="3">
        <f t="shared" si="8"/>
        <v>0</v>
      </c>
      <c r="G292" s="3">
        <f t="shared" si="9"/>
        <v>1</v>
      </c>
    </row>
    <row r="293" spans="1:7" x14ac:dyDescent="0.25">
      <c r="A293" s="3">
        <v>12785434</v>
      </c>
      <c r="B293" s="3">
        <v>0.112</v>
      </c>
      <c r="C293" s="3">
        <v>6</v>
      </c>
      <c r="D293" s="3">
        <v>1.5</v>
      </c>
      <c r="E293" s="3">
        <f>+VLOOKUP(A293,'[1]Reporte Canjes Meals'!$A:$K,10,0)</f>
        <v>0</v>
      </c>
      <c r="F293" s="3">
        <f t="shared" si="8"/>
        <v>0</v>
      </c>
      <c r="G293" s="3">
        <f t="shared" si="9"/>
        <v>1.5</v>
      </c>
    </row>
    <row r="294" spans="1:7" x14ac:dyDescent="0.25">
      <c r="A294" s="3">
        <v>12793028</v>
      </c>
      <c r="B294" s="3">
        <v>1.9E-2</v>
      </c>
      <c r="C294" s="3">
        <v>1</v>
      </c>
      <c r="D294" s="3">
        <v>0.25</v>
      </c>
      <c r="E294" s="3">
        <f>+VLOOKUP(A294,'[1]Reporte Canjes Meals'!$A:$K,10,0)</f>
        <v>0</v>
      </c>
      <c r="F294" s="3">
        <f t="shared" si="8"/>
        <v>0</v>
      </c>
      <c r="G294" s="3">
        <f t="shared" si="9"/>
        <v>0.25</v>
      </c>
    </row>
    <row r="295" spans="1:7" x14ac:dyDescent="0.25">
      <c r="A295" s="3">
        <v>12795506</v>
      </c>
      <c r="B295" s="3">
        <v>0.185</v>
      </c>
      <c r="C295" s="3">
        <v>10</v>
      </c>
      <c r="D295" s="3">
        <v>2.5</v>
      </c>
      <c r="E295" s="3">
        <f>+VLOOKUP(A295,'[1]Reporte Canjes Meals'!$A:$K,10,0)</f>
        <v>0</v>
      </c>
      <c r="F295" s="3">
        <f t="shared" si="8"/>
        <v>0</v>
      </c>
      <c r="G295" s="3">
        <f t="shared" si="9"/>
        <v>2.5</v>
      </c>
    </row>
    <row r="296" spans="1:7" x14ac:dyDescent="0.25">
      <c r="A296" s="3">
        <v>12797572</v>
      </c>
      <c r="B296" s="3">
        <v>0.501</v>
      </c>
      <c r="C296" s="3">
        <v>27</v>
      </c>
      <c r="D296" s="3">
        <v>6.75</v>
      </c>
      <c r="E296" s="3">
        <f>+VLOOKUP(A296,'[1]Reporte Canjes Meals'!$A:$K,10,0)</f>
        <v>0</v>
      </c>
      <c r="F296" s="3">
        <f t="shared" si="8"/>
        <v>0</v>
      </c>
      <c r="G296" s="3">
        <f t="shared" si="9"/>
        <v>6.75</v>
      </c>
    </row>
    <row r="297" spans="1:7" x14ac:dyDescent="0.25">
      <c r="A297" s="3">
        <v>12798524</v>
      </c>
      <c r="B297" s="3">
        <v>1.9E-2</v>
      </c>
      <c r="C297" s="3">
        <v>1</v>
      </c>
      <c r="D297" s="3">
        <v>0.25</v>
      </c>
      <c r="E297" s="3">
        <f>+VLOOKUP(A297,'[1]Reporte Canjes Meals'!$A:$K,10,0)</f>
        <v>0</v>
      </c>
      <c r="F297" s="3">
        <f t="shared" si="8"/>
        <v>0</v>
      </c>
      <c r="G297" s="3">
        <f t="shared" si="9"/>
        <v>0.25</v>
      </c>
    </row>
    <row r="298" spans="1:7" x14ac:dyDescent="0.25">
      <c r="A298" s="3">
        <v>12801679</v>
      </c>
      <c r="B298" s="3">
        <v>9.2999999999999999E-2</v>
      </c>
      <c r="C298" s="3">
        <v>5</v>
      </c>
      <c r="D298" s="3">
        <v>1.25</v>
      </c>
      <c r="E298" s="3">
        <f>+VLOOKUP(A298,'[1]Reporte Canjes Meals'!$A:$K,10,0)</f>
        <v>5</v>
      </c>
      <c r="F298" s="3">
        <f t="shared" si="8"/>
        <v>1.25</v>
      </c>
      <c r="G298" s="3">
        <f t="shared" si="9"/>
        <v>0</v>
      </c>
    </row>
    <row r="299" spans="1:7" x14ac:dyDescent="0.25">
      <c r="A299" s="3">
        <v>12804933</v>
      </c>
      <c r="B299" s="3">
        <v>0.192</v>
      </c>
      <c r="C299" s="3">
        <v>9</v>
      </c>
      <c r="D299" s="3">
        <v>2.25</v>
      </c>
      <c r="E299" s="3">
        <f>+VLOOKUP(A299,'[1]Reporte Canjes Meals'!$A:$K,10,0)</f>
        <v>0</v>
      </c>
      <c r="F299" s="3">
        <f t="shared" si="8"/>
        <v>0</v>
      </c>
      <c r="G299" s="3">
        <f t="shared" si="9"/>
        <v>2.25</v>
      </c>
    </row>
    <row r="300" spans="1:7" x14ac:dyDescent="0.25">
      <c r="A300" s="3">
        <v>12805579</v>
      </c>
      <c r="B300" s="3">
        <v>0.29799999999999999</v>
      </c>
      <c r="C300" s="3">
        <v>16</v>
      </c>
      <c r="D300" s="3">
        <v>4</v>
      </c>
      <c r="E300" s="3">
        <f>+VLOOKUP(A300,'[1]Reporte Canjes Meals'!$A:$K,10,0)</f>
        <v>0</v>
      </c>
      <c r="F300" s="3">
        <f t="shared" si="8"/>
        <v>0</v>
      </c>
      <c r="G300" s="3">
        <f t="shared" si="9"/>
        <v>4</v>
      </c>
    </row>
    <row r="301" spans="1:7" x14ac:dyDescent="0.25">
      <c r="A301" s="3">
        <v>12805581</v>
      </c>
      <c r="B301" s="3">
        <v>0.52100000000000002</v>
      </c>
      <c r="C301" s="3">
        <v>28</v>
      </c>
      <c r="D301" s="3">
        <v>7</v>
      </c>
      <c r="E301" s="3">
        <f>+VLOOKUP(A301,'[1]Reporte Canjes Meals'!$A:$K,10,0)</f>
        <v>28</v>
      </c>
      <c r="F301" s="3">
        <f t="shared" si="8"/>
        <v>7</v>
      </c>
      <c r="G301" s="3">
        <f t="shared" si="9"/>
        <v>0</v>
      </c>
    </row>
    <row r="302" spans="1:7" x14ac:dyDescent="0.25">
      <c r="A302" s="3">
        <v>12807381</v>
      </c>
      <c r="B302" s="3">
        <v>0.55800000000000005</v>
      </c>
      <c r="C302" s="3">
        <v>30</v>
      </c>
      <c r="D302" s="3">
        <v>7.5</v>
      </c>
      <c r="E302" s="3">
        <f>+VLOOKUP(A302,'[1]Reporte Canjes Meals'!$A:$K,10,0)</f>
        <v>24</v>
      </c>
      <c r="F302" s="3">
        <f t="shared" si="8"/>
        <v>6</v>
      </c>
      <c r="G302" s="3">
        <f t="shared" si="9"/>
        <v>1.5</v>
      </c>
    </row>
    <row r="303" spans="1:7" x14ac:dyDescent="0.25">
      <c r="A303" s="3">
        <v>12819176</v>
      </c>
      <c r="B303" s="3">
        <v>9.2999999999999999E-2</v>
      </c>
      <c r="C303" s="3">
        <v>5</v>
      </c>
      <c r="D303" s="3">
        <v>1.25</v>
      </c>
      <c r="E303" s="3">
        <f>+VLOOKUP(A303,'[1]Reporte Canjes Meals'!$A:$K,10,0)</f>
        <v>1</v>
      </c>
      <c r="F303" s="3">
        <f t="shared" si="8"/>
        <v>0.25</v>
      </c>
      <c r="G303" s="3">
        <f t="shared" si="9"/>
        <v>1</v>
      </c>
    </row>
    <row r="304" spans="1:7" x14ac:dyDescent="0.25">
      <c r="A304" s="3">
        <v>12825976</v>
      </c>
      <c r="B304" s="3">
        <v>0.29799999999999999</v>
      </c>
      <c r="C304" s="3">
        <v>16</v>
      </c>
      <c r="D304" s="3">
        <v>4</v>
      </c>
      <c r="E304" s="3">
        <f>+VLOOKUP(A304,'[1]Reporte Canjes Meals'!$A:$K,10,0)</f>
        <v>16</v>
      </c>
      <c r="F304" s="3">
        <f t="shared" si="8"/>
        <v>4</v>
      </c>
      <c r="G304" s="3">
        <f t="shared" si="9"/>
        <v>0</v>
      </c>
    </row>
    <row r="305" spans="1:7" x14ac:dyDescent="0.25">
      <c r="A305" s="3">
        <v>12832749</v>
      </c>
      <c r="B305" s="3">
        <v>0.65200000000000002</v>
      </c>
      <c r="C305" s="3">
        <v>35</v>
      </c>
      <c r="D305" s="3">
        <v>8.75</v>
      </c>
      <c r="E305" s="3">
        <f>+VLOOKUP(A305,'[1]Reporte Canjes Meals'!$A:$K,10,0)</f>
        <v>26</v>
      </c>
      <c r="F305" s="3">
        <f t="shared" si="8"/>
        <v>6.5</v>
      </c>
      <c r="G305" s="3">
        <f t="shared" si="9"/>
        <v>2.25</v>
      </c>
    </row>
    <row r="306" spans="1:7" x14ac:dyDescent="0.25">
      <c r="A306" s="3">
        <v>12836942</v>
      </c>
      <c r="B306" s="3">
        <v>3.6999999999999998E-2</v>
      </c>
      <c r="C306" s="3">
        <v>2</v>
      </c>
      <c r="D306" s="3">
        <v>0.5</v>
      </c>
      <c r="E306" s="3">
        <f>+VLOOKUP(A306,'[1]Reporte Canjes Meals'!$A:$K,10,0)</f>
        <v>2</v>
      </c>
      <c r="F306" s="3">
        <f t="shared" si="8"/>
        <v>0.5</v>
      </c>
      <c r="G306" s="3">
        <f t="shared" si="9"/>
        <v>0</v>
      </c>
    </row>
    <row r="307" spans="1:7" x14ac:dyDescent="0.25">
      <c r="A307" s="3">
        <v>12837185</v>
      </c>
      <c r="B307" s="3">
        <v>1.9E-2</v>
      </c>
      <c r="C307" s="3">
        <v>1</v>
      </c>
      <c r="D307" s="3">
        <v>0.25</v>
      </c>
      <c r="E307" s="3">
        <f>+VLOOKUP(A307,'[1]Reporte Canjes Meals'!$A:$K,10,0)</f>
        <v>0</v>
      </c>
      <c r="F307" s="3">
        <f t="shared" si="8"/>
        <v>0</v>
      </c>
      <c r="G307" s="3">
        <f t="shared" si="9"/>
        <v>0.25</v>
      </c>
    </row>
    <row r="308" spans="1:7" x14ac:dyDescent="0.25">
      <c r="A308" s="3">
        <v>12839008</v>
      </c>
      <c r="B308" s="3">
        <v>1.9E-2</v>
      </c>
      <c r="C308" s="3">
        <v>1</v>
      </c>
      <c r="D308" s="3">
        <v>0.25</v>
      </c>
      <c r="E308" s="3">
        <f>+VLOOKUP(A308,'[1]Reporte Canjes Meals'!$A:$K,10,0)</f>
        <v>0</v>
      </c>
      <c r="F308" s="3">
        <f t="shared" si="8"/>
        <v>0</v>
      </c>
      <c r="G308" s="3">
        <f t="shared" si="9"/>
        <v>0.25</v>
      </c>
    </row>
    <row r="309" spans="1:7" x14ac:dyDescent="0.25">
      <c r="A309" s="3">
        <v>12841171</v>
      </c>
      <c r="B309" s="3">
        <v>1.9E-2</v>
      </c>
      <c r="C309" s="3">
        <v>1</v>
      </c>
      <c r="D309" s="3">
        <v>0.25</v>
      </c>
      <c r="E309" s="3">
        <f>+VLOOKUP(A309,'[1]Reporte Canjes Meals'!$A:$K,10,0)</f>
        <v>0</v>
      </c>
      <c r="F309" s="3">
        <f t="shared" si="8"/>
        <v>0</v>
      </c>
      <c r="G309" s="3">
        <f t="shared" si="9"/>
        <v>0.25</v>
      </c>
    </row>
    <row r="310" spans="1:7" x14ac:dyDescent="0.25">
      <c r="A310" s="3">
        <v>12844589</v>
      </c>
      <c r="B310" s="3">
        <v>7.3999999999999996E-2</v>
      </c>
      <c r="C310" s="3">
        <v>4</v>
      </c>
      <c r="D310" s="3">
        <v>1</v>
      </c>
      <c r="E310" s="3">
        <f>+VLOOKUP(A310,'[1]Reporte Canjes Meals'!$A:$K,10,0)</f>
        <v>0</v>
      </c>
      <c r="F310" s="3">
        <f t="shared" si="8"/>
        <v>0</v>
      </c>
      <c r="G310" s="3">
        <f t="shared" si="9"/>
        <v>1</v>
      </c>
    </row>
    <row r="311" spans="1:7" x14ac:dyDescent="0.25">
      <c r="A311" s="3">
        <v>12844732</v>
      </c>
      <c r="B311" s="3">
        <v>0.32</v>
      </c>
      <c r="C311" s="3">
        <v>17</v>
      </c>
      <c r="D311" s="3">
        <v>4.25</v>
      </c>
      <c r="E311" s="3">
        <f>+VLOOKUP(A311,'[1]Reporte Canjes Meals'!$A:$K,10,0)</f>
        <v>0</v>
      </c>
      <c r="F311" s="3">
        <f t="shared" si="8"/>
        <v>0</v>
      </c>
      <c r="G311" s="3">
        <f t="shared" si="9"/>
        <v>4.25</v>
      </c>
    </row>
    <row r="312" spans="1:7" x14ac:dyDescent="0.25">
      <c r="A312" s="3">
        <v>12847551</v>
      </c>
      <c r="B312" s="3">
        <v>0.33500000000000002</v>
      </c>
      <c r="C312" s="3">
        <v>18</v>
      </c>
      <c r="D312" s="3">
        <v>4.5</v>
      </c>
      <c r="E312" s="3">
        <f>+VLOOKUP(A312,'[1]Reporte Canjes Meals'!$A:$K,10,0)</f>
        <v>0</v>
      </c>
      <c r="F312" s="3">
        <f t="shared" si="8"/>
        <v>0</v>
      </c>
      <c r="G312" s="3">
        <f t="shared" si="9"/>
        <v>4.5</v>
      </c>
    </row>
    <row r="313" spans="1:7" x14ac:dyDescent="0.25">
      <c r="A313" s="3">
        <v>12859235</v>
      </c>
      <c r="B313" s="3">
        <v>1.9E-2</v>
      </c>
      <c r="C313" s="3">
        <v>1</v>
      </c>
      <c r="D313" s="3">
        <v>0.25</v>
      </c>
      <c r="E313" s="3">
        <f>+VLOOKUP(A313,'[1]Reporte Canjes Meals'!$A:$K,10,0)</f>
        <v>0</v>
      </c>
      <c r="F313" s="3">
        <f t="shared" si="8"/>
        <v>0</v>
      </c>
      <c r="G313" s="3">
        <f t="shared" si="9"/>
        <v>0.25</v>
      </c>
    </row>
    <row r="314" spans="1:7" x14ac:dyDescent="0.25">
      <c r="A314" s="3">
        <v>12861362</v>
      </c>
      <c r="B314" s="3">
        <v>0.24099999999999999</v>
      </c>
      <c r="C314" s="3">
        <v>13</v>
      </c>
      <c r="D314" s="3">
        <v>3.25</v>
      </c>
      <c r="E314" s="3">
        <f>+VLOOKUP(A314,'[1]Reporte Canjes Meals'!$A:$K,10,0)</f>
        <v>4</v>
      </c>
      <c r="F314" s="3">
        <f t="shared" si="8"/>
        <v>1</v>
      </c>
      <c r="G314" s="3">
        <f t="shared" si="9"/>
        <v>2.25</v>
      </c>
    </row>
    <row r="315" spans="1:7" x14ac:dyDescent="0.25">
      <c r="A315" s="3">
        <v>12874030</v>
      </c>
      <c r="B315" s="3">
        <v>7.3999999999999996E-2</v>
      </c>
      <c r="C315" s="3">
        <v>4</v>
      </c>
      <c r="D315" s="3">
        <v>1</v>
      </c>
      <c r="E315" s="3">
        <f>+VLOOKUP(A315,'[1]Reporte Canjes Meals'!$A:$K,10,0)</f>
        <v>0</v>
      </c>
      <c r="F315" s="3">
        <f t="shared" si="8"/>
        <v>0</v>
      </c>
      <c r="G315" s="3">
        <f t="shared" si="9"/>
        <v>1</v>
      </c>
    </row>
    <row r="316" spans="1:7" x14ac:dyDescent="0.25">
      <c r="A316" s="3">
        <v>12879788</v>
      </c>
      <c r="B316" s="3">
        <v>0.33500000000000002</v>
      </c>
      <c r="C316" s="3">
        <v>18</v>
      </c>
      <c r="D316" s="3">
        <v>4.5</v>
      </c>
      <c r="E316" s="3">
        <f>+VLOOKUP(A316,'[1]Reporte Canjes Meals'!$A:$K,10,0)</f>
        <v>10</v>
      </c>
      <c r="F316" s="3">
        <f t="shared" si="8"/>
        <v>2.5</v>
      </c>
      <c r="G316" s="3">
        <f t="shared" si="9"/>
        <v>2</v>
      </c>
    </row>
    <row r="317" spans="1:7" x14ac:dyDescent="0.25">
      <c r="A317" s="3">
        <v>12883565</v>
      </c>
      <c r="B317" s="3">
        <v>7.3999999999999996E-2</v>
      </c>
      <c r="C317" s="3">
        <v>4</v>
      </c>
      <c r="D317" s="3">
        <v>1</v>
      </c>
      <c r="E317" s="3">
        <f>+VLOOKUP(A317,'[1]Reporte Canjes Meals'!$A:$K,10,0)</f>
        <v>4</v>
      </c>
      <c r="F317" s="3">
        <f t="shared" si="8"/>
        <v>1</v>
      </c>
      <c r="G317" s="3">
        <f t="shared" si="9"/>
        <v>0</v>
      </c>
    </row>
    <row r="318" spans="1:7" x14ac:dyDescent="0.25">
      <c r="A318" s="3">
        <v>12887072</v>
      </c>
      <c r="B318" s="3">
        <v>0.24199999999999999</v>
      </c>
      <c r="C318" s="3">
        <v>13</v>
      </c>
      <c r="D318" s="3">
        <v>3.25</v>
      </c>
      <c r="E318" s="3">
        <f>+VLOOKUP(A318,'[1]Reporte Canjes Meals'!$A:$K,10,0)</f>
        <v>0</v>
      </c>
      <c r="F318" s="3">
        <f t="shared" si="8"/>
        <v>0</v>
      </c>
      <c r="G318" s="3">
        <f t="shared" si="9"/>
        <v>3.25</v>
      </c>
    </row>
    <row r="319" spans="1:7" x14ac:dyDescent="0.25">
      <c r="A319" s="3">
        <v>12895340</v>
      </c>
      <c r="B319" s="3">
        <v>0.29699999999999999</v>
      </c>
      <c r="C319" s="3">
        <v>16</v>
      </c>
      <c r="D319" s="3">
        <v>4</v>
      </c>
      <c r="E319" s="3">
        <f>+VLOOKUP(A319,'[1]Reporte Canjes Meals'!$A:$K,10,0)</f>
        <v>12</v>
      </c>
      <c r="F319" s="3">
        <f t="shared" si="8"/>
        <v>3</v>
      </c>
      <c r="G319" s="3">
        <f t="shared" si="9"/>
        <v>1</v>
      </c>
    </row>
    <row r="320" spans="1:7" x14ac:dyDescent="0.25">
      <c r="A320" s="3">
        <v>12900431</v>
      </c>
      <c r="B320" s="3">
        <v>5.6000000000000001E-2</v>
      </c>
      <c r="C320" s="3">
        <v>3</v>
      </c>
      <c r="D320" s="3">
        <v>0.75</v>
      </c>
      <c r="E320" s="3">
        <f>+VLOOKUP(A320,'[1]Reporte Canjes Meals'!$A:$K,10,0)</f>
        <v>0</v>
      </c>
      <c r="F320" s="3">
        <f t="shared" si="8"/>
        <v>0</v>
      </c>
      <c r="G320" s="3">
        <f t="shared" si="9"/>
        <v>0.75</v>
      </c>
    </row>
    <row r="321" spans="1:7" x14ac:dyDescent="0.25">
      <c r="A321" s="3">
        <v>12925773</v>
      </c>
      <c r="B321" s="3">
        <v>0.29799999999999999</v>
      </c>
      <c r="C321" s="3">
        <v>16</v>
      </c>
      <c r="D321" s="3">
        <v>4</v>
      </c>
      <c r="E321" s="3">
        <f>+VLOOKUP(A321,'[1]Reporte Canjes Meals'!$A:$K,10,0)</f>
        <v>1</v>
      </c>
      <c r="F321" s="3">
        <f t="shared" si="8"/>
        <v>0.25</v>
      </c>
      <c r="G321" s="3">
        <f t="shared" si="9"/>
        <v>3.75</v>
      </c>
    </row>
    <row r="322" spans="1:7" x14ac:dyDescent="0.25">
      <c r="A322" s="3">
        <v>12933144</v>
      </c>
      <c r="B322" s="3">
        <v>0.14899999999999999</v>
      </c>
      <c r="C322" s="3">
        <v>8</v>
      </c>
      <c r="D322" s="3">
        <v>2</v>
      </c>
      <c r="E322" s="3">
        <f>+VLOOKUP(A322,'[1]Reporte Canjes Meals'!$A:$K,10,0)</f>
        <v>0</v>
      </c>
      <c r="F322" s="3">
        <f t="shared" si="8"/>
        <v>0</v>
      </c>
      <c r="G322" s="3">
        <f t="shared" si="9"/>
        <v>2</v>
      </c>
    </row>
    <row r="323" spans="1:7" x14ac:dyDescent="0.25">
      <c r="A323" s="3">
        <v>12933153</v>
      </c>
      <c r="B323" s="3">
        <v>7.3999999999999996E-2</v>
      </c>
      <c r="C323" s="3">
        <v>4</v>
      </c>
      <c r="D323" s="3">
        <v>1</v>
      </c>
      <c r="E323" s="3">
        <f>+VLOOKUP(A323,'[1]Reporte Canjes Meals'!$A:$K,10,0)</f>
        <v>4</v>
      </c>
      <c r="F323" s="3">
        <f t="shared" ref="F323:F386" si="10">+E323/4</f>
        <v>1</v>
      </c>
      <c r="G323" s="3">
        <f t="shared" ref="G323:G386" si="11">+D323-F323</f>
        <v>0</v>
      </c>
    </row>
    <row r="324" spans="1:7" x14ac:dyDescent="0.25">
      <c r="A324" s="3">
        <v>12936373</v>
      </c>
      <c r="B324" s="3">
        <v>0.65</v>
      </c>
      <c r="C324" s="3">
        <v>35</v>
      </c>
      <c r="D324" s="3">
        <v>8.75</v>
      </c>
      <c r="E324" s="3">
        <f>+VLOOKUP(A324,'[1]Reporte Canjes Meals'!$A:$K,10,0)</f>
        <v>0</v>
      </c>
      <c r="F324" s="3">
        <f t="shared" si="10"/>
        <v>0</v>
      </c>
      <c r="G324" s="3">
        <f t="shared" si="11"/>
        <v>8.75</v>
      </c>
    </row>
    <row r="325" spans="1:7" x14ac:dyDescent="0.25">
      <c r="A325" s="3">
        <v>12937415</v>
      </c>
      <c r="B325" s="3">
        <v>1.9E-2</v>
      </c>
      <c r="C325" s="3">
        <v>1</v>
      </c>
      <c r="D325" s="3">
        <v>0.25</v>
      </c>
      <c r="E325" s="3">
        <f>+VLOOKUP(A325,'[1]Reporte Canjes Meals'!$A:$K,10,0)</f>
        <v>0</v>
      </c>
      <c r="F325" s="3">
        <f t="shared" si="10"/>
        <v>0</v>
      </c>
      <c r="G325" s="3">
        <f t="shared" si="11"/>
        <v>0.25</v>
      </c>
    </row>
    <row r="326" spans="1:7" x14ac:dyDescent="0.25">
      <c r="A326" s="3">
        <v>12941864</v>
      </c>
      <c r="B326" s="3">
        <v>7.3999999999999996E-2</v>
      </c>
      <c r="C326" s="3">
        <v>4</v>
      </c>
      <c r="D326" s="3">
        <v>1</v>
      </c>
      <c r="E326" s="3">
        <f>+VLOOKUP(A326,'[1]Reporte Canjes Meals'!$A:$K,10,0)</f>
        <v>0</v>
      </c>
      <c r="F326" s="3">
        <f t="shared" si="10"/>
        <v>0</v>
      </c>
      <c r="G326" s="3">
        <f t="shared" si="11"/>
        <v>1</v>
      </c>
    </row>
    <row r="327" spans="1:7" x14ac:dyDescent="0.25">
      <c r="A327" s="3">
        <v>12943833</v>
      </c>
      <c r="B327" s="3">
        <v>1.0409999999999999</v>
      </c>
      <c r="C327" s="3">
        <v>56</v>
      </c>
      <c r="D327" s="3">
        <v>14</v>
      </c>
      <c r="E327" s="3">
        <f>+VLOOKUP(A327,'[1]Reporte Canjes Meals'!$A:$K,10,0)</f>
        <v>48</v>
      </c>
      <c r="F327" s="3">
        <f t="shared" si="10"/>
        <v>12</v>
      </c>
      <c r="G327" s="3">
        <f t="shared" si="11"/>
        <v>2</v>
      </c>
    </row>
    <row r="328" spans="1:7" x14ac:dyDescent="0.25">
      <c r="A328" s="3">
        <v>12949245</v>
      </c>
      <c r="B328" s="3">
        <v>7.3999999999999996E-2</v>
      </c>
      <c r="C328" s="3">
        <v>4</v>
      </c>
      <c r="D328" s="3">
        <v>1</v>
      </c>
      <c r="E328" s="3">
        <f>+VLOOKUP(A328,'[1]Reporte Canjes Meals'!$A:$K,10,0)</f>
        <v>0</v>
      </c>
      <c r="F328" s="3">
        <f t="shared" si="10"/>
        <v>0</v>
      </c>
      <c r="G328" s="3">
        <f t="shared" si="11"/>
        <v>1</v>
      </c>
    </row>
    <row r="329" spans="1:7" x14ac:dyDescent="0.25">
      <c r="A329" s="3">
        <v>12953370</v>
      </c>
      <c r="B329" s="3">
        <v>7.3999999999999996E-2</v>
      </c>
      <c r="C329" s="3">
        <v>4</v>
      </c>
      <c r="D329" s="3">
        <v>1</v>
      </c>
      <c r="E329" s="3">
        <f>+VLOOKUP(A329,'[1]Reporte Canjes Meals'!$A:$K,10,0)</f>
        <v>0</v>
      </c>
      <c r="F329" s="3">
        <f t="shared" si="10"/>
        <v>0</v>
      </c>
      <c r="G329" s="3">
        <f t="shared" si="11"/>
        <v>1</v>
      </c>
    </row>
    <row r="330" spans="1:7" x14ac:dyDescent="0.25">
      <c r="A330" s="3">
        <v>12955968</v>
      </c>
      <c r="B330" s="3">
        <v>0.14899999999999999</v>
      </c>
      <c r="C330" s="3">
        <v>8</v>
      </c>
      <c r="D330" s="3">
        <v>2</v>
      </c>
      <c r="E330" s="3">
        <f>+VLOOKUP(A330,'[1]Reporte Canjes Meals'!$A:$K,10,0)</f>
        <v>0</v>
      </c>
      <c r="F330" s="3">
        <f t="shared" si="10"/>
        <v>0</v>
      </c>
      <c r="G330" s="3">
        <f t="shared" si="11"/>
        <v>2</v>
      </c>
    </row>
    <row r="331" spans="1:7" x14ac:dyDescent="0.25">
      <c r="A331" s="3">
        <v>12969188</v>
      </c>
      <c r="B331" s="3">
        <v>0.14899999999999999</v>
      </c>
      <c r="C331" s="3">
        <v>8</v>
      </c>
      <c r="D331" s="3">
        <v>2</v>
      </c>
      <c r="E331" s="3">
        <f>+VLOOKUP(A331,'[1]Reporte Canjes Meals'!$A:$K,10,0)</f>
        <v>0</v>
      </c>
      <c r="F331" s="3">
        <f t="shared" si="10"/>
        <v>0</v>
      </c>
      <c r="G331" s="3">
        <f t="shared" si="11"/>
        <v>2</v>
      </c>
    </row>
    <row r="332" spans="1:7" x14ac:dyDescent="0.25">
      <c r="A332" s="3">
        <v>12988813</v>
      </c>
      <c r="B332" s="3">
        <v>9.2999999999999999E-2</v>
      </c>
      <c r="C332" s="3">
        <v>5</v>
      </c>
      <c r="D332" s="3">
        <v>1.25</v>
      </c>
      <c r="E332" s="3">
        <f>+VLOOKUP(A332,'[1]Reporte Canjes Meals'!$A:$K,10,0)</f>
        <v>0</v>
      </c>
      <c r="F332" s="3">
        <f t="shared" si="10"/>
        <v>0</v>
      </c>
      <c r="G332" s="3">
        <f t="shared" si="11"/>
        <v>1.25</v>
      </c>
    </row>
    <row r="333" spans="1:7" x14ac:dyDescent="0.25">
      <c r="A333" s="3">
        <v>12992866</v>
      </c>
      <c r="B333" s="3">
        <v>0.29699999999999999</v>
      </c>
      <c r="C333" s="3">
        <v>16</v>
      </c>
      <c r="D333" s="3">
        <v>4</v>
      </c>
      <c r="E333" s="3">
        <f>+VLOOKUP(A333,'[1]Reporte Canjes Meals'!$A:$K,10,0)</f>
        <v>0</v>
      </c>
      <c r="F333" s="3">
        <f t="shared" si="10"/>
        <v>0</v>
      </c>
      <c r="G333" s="3">
        <f t="shared" si="11"/>
        <v>4</v>
      </c>
    </row>
    <row r="334" spans="1:7" x14ac:dyDescent="0.25">
      <c r="A334" s="3">
        <v>12994886</v>
      </c>
      <c r="B334" s="3">
        <v>0</v>
      </c>
      <c r="C334" s="3">
        <v>0</v>
      </c>
      <c r="D334" s="3">
        <v>0</v>
      </c>
      <c r="E334" s="3">
        <f>+VLOOKUP(A334,'[1]Reporte Canjes Meals'!$A:$K,10,0)</f>
        <v>0</v>
      </c>
      <c r="F334" s="3">
        <f t="shared" si="10"/>
        <v>0</v>
      </c>
      <c r="G334" s="3">
        <f t="shared" si="11"/>
        <v>0</v>
      </c>
    </row>
    <row r="335" spans="1:7" x14ac:dyDescent="0.25">
      <c r="A335" s="3">
        <v>12996112</v>
      </c>
      <c r="B335" s="3">
        <v>0.35299999999999998</v>
      </c>
      <c r="C335" s="3">
        <v>19</v>
      </c>
      <c r="D335" s="3">
        <v>4.75</v>
      </c>
      <c r="E335" s="3">
        <f>+VLOOKUP(A335,'[1]Reporte Canjes Meals'!$A:$K,10,0)</f>
        <v>10</v>
      </c>
      <c r="F335" s="3">
        <f t="shared" si="10"/>
        <v>2.5</v>
      </c>
      <c r="G335" s="3">
        <f t="shared" si="11"/>
        <v>2.25</v>
      </c>
    </row>
    <row r="336" spans="1:7" x14ac:dyDescent="0.25">
      <c r="A336" s="3">
        <v>13009949</v>
      </c>
      <c r="B336" s="3">
        <v>0.44700000000000001</v>
      </c>
      <c r="C336" s="3">
        <v>24</v>
      </c>
      <c r="D336" s="3">
        <v>6</v>
      </c>
      <c r="E336" s="3">
        <f>+VLOOKUP(A336,'[1]Reporte Canjes Meals'!$A:$K,10,0)</f>
        <v>0</v>
      </c>
      <c r="F336" s="3">
        <f t="shared" si="10"/>
        <v>0</v>
      </c>
      <c r="G336" s="3">
        <f t="shared" si="11"/>
        <v>6</v>
      </c>
    </row>
    <row r="337" spans="1:7" x14ac:dyDescent="0.25">
      <c r="A337" s="3">
        <v>13015819</v>
      </c>
      <c r="B337" s="3">
        <v>1.21</v>
      </c>
      <c r="C337" s="3">
        <v>65</v>
      </c>
      <c r="D337" s="3">
        <v>16.25</v>
      </c>
      <c r="E337" s="3">
        <f>+VLOOKUP(A337,'[1]Reporte Canjes Meals'!$A:$K,10,0)</f>
        <v>0</v>
      </c>
      <c r="F337" s="3">
        <f t="shared" si="10"/>
        <v>0</v>
      </c>
      <c r="G337" s="3">
        <f t="shared" si="11"/>
        <v>16.25</v>
      </c>
    </row>
    <row r="338" spans="1:7" x14ac:dyDescent="0.25">
      <c r="A338" s="3">
        <v>13018140</v>
      </c>
      <c r="B338" s="3">
        <v>0.13100000000000001</v>
      </c>
      <c r="C338" s="3">
        <v>7</v>
      </c>
      <c r="D338" s="3">
        <v>1.75</v>
      </c>
      <c r="E338" s="3">
        <f>+VLOOKUP(A338,'[1]Reporte Canjes Meals'!$A:$K,10,0)</f>
        <v>0</v>
      </c>
      <c r="F338" s="3">
        <f t="shared" si="10"/>
        <v>0</v>
      </c>
      <c r="G338" s="3">
        <f t="shared" si="11"/>
        <v>1.75</v>
      </c>
    </row>
    <row r="339" spans="1:7" x14ac:dyDescent="0.25">
      <c r="A339" s="3">
        <v>13020026</v>
      </c>
      <c r="B339" s="3">
        <v>1.9E-2</v>
      </c>
      <c r="C339" s="3">
        <v>1</v>
      </c>
      <c r="D339" s="3">
        <v>0.25</v>
      </c>
      <c r="E339" s="3">
        <f>+VLOOKUP(A339,'[1]Reporte Canjes Meals'!$A:$K,10,0)</f>
        <v>0</v>
      </c>
      <c r="F339" s="3">
        <f t="shared" si="10"/>
        <v>0</v>
      </c>
      <c r="G339" s="3">
        <f t="shared" si="11"/>
        <v>0.25</v>
      </c>
    </row>
    <row r="340" spans="1:7" x14ac:dyDescent="0.25">
      <c r="A340" s="3">
        <v>13020554</v>
      </c>
      <c r="B340" s="3">
        <v>1.9E-2</v>
      </c>
      <c r="C340" s="3">
        <v>1</v>
      </c>
      <c r="D340" s="3">
        <v>0.25</v>
      </c>
      <c r="E340" s="3">
        <f>+VLOOKUP(A340,'[1]Reporte Canjes Meals'!$A:$K,10,0)</f>
        <v>0</v>
      </c>
      <c r="F340" s="3">
        <f t="shared" si="10"/>
        <v>0</v>
      </c>
      <c r="G340" s="3">
        <f t="shared" si="11"/>
        <v>0.25</v>
      </c>
    </row>
    <row r="341" spans="1:7" x14ac:dyDescent="0.25">
      <c r="A341" s="3">
        <v>13024334</v>
      </c>
      <c r="B341" s="3">
        <v>0.16700000000000001</v>
      </c>
      <c r="C341" s="3">
        <v>9</v>
      </c>
      <c r="D341" s="3">
        <v>2.25</v>
      </c>
      <c r="E341" s="3">
        <f>+VLOOKUP(A341,'[1]Reporte Canjes Meals'!$A:$K,10,0)</f>
        <v>0</v>
      </c>
      <c r="F341" s="3">
        <f t="shared" si="10"/>
        <v>0</v>
      </c>
      <c r="G341" s="3">
        <f t="shared" si="11"/>
        <v>2.25</v>
      </c>
    </row>
    <row r="342" spans="1:7" x14ac:dyDescent="0.25">
      <c r="A342" s="3">
        <v>13029134</v>
      </c>
      <c r="B342" s="3">
        <v>5.6000000000000001E-2</v>
      </c>
      <c r="C342" s="3">
        <v>3</v>
      </c>
      <c r="D342" s="3">
        <v>0.75</v>
      </c>
      <c r="E342" s="3">
        <f>+VLOOKUP(A342,'[1]Reporte Canjes Meals'!$A:$K,10,0)</f>
        <v>3</v>
      </c>
      <c r="F342" s="3">
        <f t="shared" si="10"/>
        <v>0.75</v>
      </c>
      <c r="G342" s="3">
        <f t="shared" si="11"/>
        <v>0</v>
      </c>
    </row>
    <row r="343" spans="1:7" x14ac:dyDescent="0.25">
      <c r="A343" s="3">
        <v>13033817</v>
      </c>
      <c r="B343" s="3">
        <v>0.16800000000000001</v>
      </c>
      <c r="C343" s="3">
        <v>9</v>
      </c>
      <c r="D343" s="3">
        <v>2.25</v>
      </c>
      <c r="E343" s="3">
        <f>+VLOOKUP(A343,'[1]Reporte Canjes Meals'!$A:$K,10,0)</f>
        <v>0</v>
      </c>
      <c r="F343" s="3">
        <f t="shared" si="10"/>
        <v>0</v>
      </c>
      <c r="G343" s="3">
        <f t="shared" si="11"/>
        <v>2.25</v>
      </c>
    </row>
    <row r="344" spans="1:7" x14ac:dyDescent="0.25">
      <c r="A344" s="3">
        <v>13044938</v>
      </c>
      <c r="B344" s="3">
        <v>0.14899999999999999</v>
      </c>
      <c r="C344" s="3">
        <v>8</v>
      </c>
      <c r="D344" s="3">
        <v>2</v>
      </c>
      <c r="E344" s="3">
        <f>+VLOOKUP(A344,'[1]Reporte Canjes Meals'!$A:$K,10,0)</f>
        <v>12</v>
      </c>
      <c r="F344" s="3">
        <f t="shared" si="10"/>
        <v>3</v>
      </c>
      <c r="G344" s="3">
        <f t="shared" si="11"/>
        <v>-1</v>
      </c>
    </row>
    <row r="345" spans="1:7" x14ac:dyDescent="0.25">
      <c r="A345" s="3">
        <v>13045076</v>
      </c>
      <c r="B345" s="3">
        <v>0.42799999999999999</v>
      </c>
      <c r="C345" s="3">
        <v>23</v>
      </c>
      <c r="D345" s="3">
        <v>5.75</v>
      </c>
      <c r="E345" s="3">
        <f>+VLOOKUP(A345,'[1]Reporte Canjes Meals'!$A:$K,10,0)</f>
        <v>7</v>
      </c>
      <c r="F345" s="3">
        <f t="shared" si="10"/>
        <v>1.75</v>
      </c>
      <c r="G345" s="3">
        <f t="shared" si="11"/>
        <v>4</v>
      </c>
    </row>
    <row r="346" spans="1:7" x14ac:dyDescent="0.25">
      <c r="A346" s="3">
        <v>13049124</v>
      </c>
      <c r="B346" s="3">
        <v>0.13</v>
      </c>
      <c r="C346" s="3">
        <v>7</v>
      </c>
      <c r="D346" s="3">
        <v>1.75</v>
      </c>
      <c r="E346" s="3">
        <f>+VLOOKUP(A346,'[1]Reporte Canjes Meals'!$A:$K,10,0)</f>
        <v>7</v>
      </c>
      <c r="F346" s="3">
        <f t="shared" si="10"/>
        <v>1.75</v>
      </c>
      <c r="G346" s="3">
        <f t="shared" si="11"/>
        <v>0</v>
      </c>
    </row>
    <row r="347" spans="1:7" x14ac:dyDescent="0.25">
      <c r="A347" s="3">
        <v>13057551</v>
      </c>
      <c r="B347" s="3">
        <v>0.316</v>
      </c>
      <c r="C347" s="3">
        <v>17</v>
      </c>
      <c r="D347" s="3">
        <v>4.25</v>
      </c>
      <c r="E347" s="3">
        <f>+VLOOKUP(A347,'[1]Reporte Canjes Meals'!$A:$K,10,0)</f>
        <v>0</v>
      </c>
      <c r="F347" s="3">
        <f t="shared" si="10"/>
        <v>0</v>
      </c>
      <c r="G347" s="3">
        <f t="shared" si="11"/>
        <v>4.25</v>
      </c>
    </row>
    <row r="348" spans="1:7" x14ac:dyDescent="0.25">
      <c r="A348" s="3">
        <v>13115230</v>
      </c>
      <c r="B348" s="3">
        <v>0.316</v>
      </c>
      <c r="C348" s="3">
        <v>17</v>
      </c>
      <c r="D348" s="3">
        <v>4.25</v>
      </c>
      <c r="E348" s="3">
        <f>+VLOOKUP(A348,'[1]Reporte Canjes Meals'!$A:$K,10,0)</f>
        <v>8</v>
      </c>
      <c r="F348" s="3">
        <f t="shared" si="10"/>
        <v>2</v>
      </c>
      <c r="G348" s="3">
        <f t="shared" si="11"/>
        <v>2.25</v>
      </c>
    </row>
    <row r="349" spans="1:7" x14ac:dyDescent="0.25">
      <c r="A349" s="3">
        <v>13164829</v>
      </c>
      <c r="B349" s="3">
        <v>0.14899999999999999</v>
      </c>
      <c r="C349" s="3">
        <v>8</v>
      </c>
      <c r="D349" s="3">
        <v>2</v>
      </c>
      <c r="E349" s="3">
        <f>+VLOOKUP(A349,'[1]Reporte Canjes Meals'!$A:$K,10,0)</f>
        <v>0</v>
      </c>
      <c r="F349" s="3">
        <f t="shared" si="10"/>
        <v>0</v>
      </c>
      <c r="G349" s="3">
        <f t="shared" si="11"/>
        <v>2</v>
      </c>
    </row>
    <row r="350" spans="1:7" x14ac:dyDescent="0.25">
      <c r="A350" s="3">
        <v>13165718</v>
      </c>
      <c r="B350" s="3">
        <v>0.40899999999999997</v>
      </c>
      <c r="C350" s="3">
        <v>22</v>
      </c>
      <c r="D350" s="3">
        <v>5.5</v>
      </c>
      <c r="E350" s="3">
        <f>+VLOOKUP(A350,'[1]Reporte Canjes Meals'!$A:$K,10,0)</f>
        <v>4</v>
      </c>
      <c r="F350" s="3">
        <f t="shared" si="10"/>
        <v>1</v>
      </c>
      <c r="G350" s="3">
        <f t="shared" si="11"/>
        <v>4.5</v>
      </c>
    </row>
    <row r="351" spans="1:7" x14ac:dyDescent="0.25">
      <c r="A351" s="3">
        <v>13172427</v>
      </c>
      <c r="B351" s="3">
        <v>0.372</v>
      </c>
      <c r="C351" s="3">
        <v>20</v>
      </c>
      <c r="D351" s="3">
        <v>5</v>
      </c>
      <c r="E351" s="3">
        <f>+VLOOKUP(A351,'[1]Reporte Canjes Meals'!$A:$K,10,0)</f>
        <v>12</v>
      </c>
      <c r="F351" s="3">
        <f t="shared" si="10"/>
        <v>3</v>
      </c>
      <c r="G351" s="3">
        <f t="shared" si="11"/>
        <v>2</v>
      </c>
    </row>
    <row r="352" spans="1:7" x14ac:dyDescent="0.25">
      <c r="A352" s="3">
        <v>13183582</v>
      </c>
      <c r="B352" s="3">
        <v>0.66900000000000004</v>
      </c>
      <c r="C352" s="3">
        <v>36</v>
      </c>
      <c r="D352" s="3">
        <v>9</v>
      </c>
      <c r="E352" s="3">
        <f>+VLOOKUP(A352,'[1]Reporte Canjes Meals'!$A:$K,10,0)</f>
        <v>0</v>
      </c>
      <c r="F352" s="3">
        <f t="shared" si="10"/>
        <v>0</v>
      </c>
      <c r="G352" s="3">
        <f t="shared" si="11"/>
        <v>9</v>
      </c>
    </row>
    <row r="353" spans="1:7" x14ac:dyDescent="0.25">
      <c r="A353" s="3">
        <v>13186664</v>
      </c>
      <c r="B353" s="3">
        <v>0.44600000000000001</v>
      </c>
      <c r="C353" s="3">
        <v>24</v>
      </c>
      <c r="D353" s="3">
        <v>6</v>
      </c>
      <c r="E353" s="3">
        <f>+VLOOKUP(A353,'[1]Reporte Canjes Meals'!$A:$K,10,0)</f>
        <v>24</v>
      </c>
      <c r="F353" s="3">
        <f t="shared" si="10"/>
        <v>6</v>
      </c>
      <c r="G353" s="3">
        <f t="shared" si="11"/>
        <v>0</v>
      </c>
    </row>
    <row r="354" spans="1:7" x14ac:dyDescent="0.25">
      <c r="A354" s="3">
        <v>13188211</v>
      </c>
      <c r="B354" s="3">
        <v>9.2999999999999999E-2</v>
      </c>
      <c r="C354" s="3">
        <v>5</v>
      </c>
      <c r="D354" s="3">
        <v>1.25</v>
      </c>
      <c r="E354" s="3">
        <f>+VLOOKUP(A354,'[1]Reporte Canjes Meals'!$A:$K,10,0)</f>
        <v>0</v>
      </c>
      <c r="F354" s="3">
        <f t="shared" si="10"/>
        <v>0</v>
      </c>
      <c r="G354" s="3">
        <f t="shared" si="11"/>
        <v>1.25</v>
      </c>
    </row>
    <row r="355" spans="1:7" x14ac:dyDescent="0.25">
      <c r="A355" s="3">
        <v>13189429</v>
      </c>
      <c r="B355" s="3">
        <v>0.14799999999999999</v>
      </c>
      <c r="C355" s="3">
        <v>8</v>
      </c>
      <c r="D355" s="3">
        <v>2</v>
      </c>
      <c r="E355" s="3">
        <f>+VLOOKUP(A355,'[1]Reporte Canjes Meals'!$A:$K,10,0)</f>
        <v>8</v>
      </c>
      <c r="F355" s="3">
        <f t="shared" si="10"/>
        <v>2</v>
      </c>
      <c r="G355" s="3">
        <f t="shared" si="11"/>
        <v>0</v>
      </c>
    </row>
    <row r="356" spans="1:7" x14ac:dyDescent="0.25">
      <c r="A356" s="3">
        <v>13197372</v>
      </c>
      <c r="B356" s="3">
        <v>0.44600000000000001</v>
      </c>
      <c r="C356" s="3">
        <v>24</v>
      </c>
      <c r="D356" s="3">
        <v>6</v>
      </c>
      <c r="E356" s="3">
        <f>+VLOOKUP(A356,'[1]Reporte Canjes Meals'!$A:$K,10,0)</f>
        <v>0</v>
      </c>
      <c r="F356" s="3">
        <f t="shared" si="10"/>
        <v>0</v>
      </c>
      <c r="G356" s="3">
        <f t="shared" si="11"/>
        <v>6</v>
      </c>
    </row>
    <row r="357" spans="1:7" x14ac:dyDescent="0.25">
      <c r="A357" s="3">
        <v>13199574</v>
      </c>
      <c r="B357" s="3">
        <v>1.9E-2</v>
      </c>
      <c r="C357" s="3">
        <v>1</v>
      </c>
      <c r="D357" s="3">
        <v>0.25</v>
      </c>
      <c r="E357" s="3">
        <f>+VLOOKUP(A357,'[1]Reporte Canjes Meals'!$A:$K,10,0)</f>
        <v>0</v>
      </c>
      <c r="F357" s="3">
        <f t="shared" si="10"/>
        <v>0</v>
      </c>
      <c r="G357" s="3">
        <f t="shared" si="11"/>
        <v>0.25</v>
      </c>
    </row>
    <row r="358" spans="1:7" x14ac:dyDescent="0.25">
      <c r="A358" s="3">
        <v>13205866</v>
      </c>
      <c r="B358" s="3">
        <v>5.6000000000000001E-2</v>
      </c>
      <c r="C358" s="3">
        <v>3</v>
      </c>
      <c r="D358" s="3">
        <v>0.75</v>
      </c>
      <c r="E358" s="3">
        <f>+VLOOKUP(A358,'[1]Reporte Canjes Meals'!$A:$K,10,0)</f>
        <v>0</v>
      </c>
      <c r="F358" s="3">
        <f t="shared" si="10"/>
        <v>0</v>
      </c>
      <c r="G358" s="3">
        <f t="shared" si="11"/>
        <v>0.75</v>
      </c>
    </row>
    <row r="359" spans="1:7" x14ac:dyDescent="0.25">
      <c r="A359" s="3">
        <v>13206848</v>
      </c>
      <c r="B359" s="3">
        <v>7.3999999999999996E-2</v>
      </c>
      <c r="C359" s="3">
        <v>4</v>
      </c>
      <c r="D359" s="3">
        <v>1</v>
      </c>
      <c r="E359" s="3">
        <f>+VLOOKUP(A359,'[1]Reporte Canjes Meals'!$A:$K,10,0)</f>
        <v>0</v>
      </c>
      <c r="F359" s="3">
        <f t="shared" si="10"/>
        <v>0</v>
      </c>
      <c r="G359" s="3">
        <f t="shared" si="11"/>
        <v>1</v>
      </c>
    </row>
    <row r="360" spans="1:7" x14ac:dyDescent="0.25">
      <c r="A360" s="3">
        <v>13223884</v>
      </c>
      <c r="B360" s="3">
        <v>0.33500000000000002</v>
      </c>
      <c r="C360" s="3">
        <v>18</v>
      </c>
      <c r="D360" s="3">
        <v>4.5</v>
      </c>
      <c r="E360" s="3">
        <f>+VLOOKUP(A360,'[1]Reporte Canjes Meals'!$A:$K,10,0)</f>
        <v>6</v>
      </c>
      <c r="F360" s="3">
        <f t="shared" si="10"/>
        <v>1.5</v>
      </c>
      <c r="G360" s="3">
        <f t="shared" si="11"/>
        <v>3</v>
      </c>
    </row>
    <row r="361" spans="1:7" x14ac:dyDescent="0.25">
      <c r="A361" s="3">
        <v>13228398</v>
      </c>
      <c r="B361" s="3">
        <v>0.26</v>
      </c>
      <c r="C361" s="3">
        <v>14</v>
      </c>
      <c r="D361" s="3">
        <v>3.5</v>
      </c>
      <c r="E361" s="3">
        <f>+VLOOKUP(A361,'[1]Reporte Canjes Meals'!$A:$K,10,0)</f>
        <v>14</v>
      </c>
      <c r="F361" s="3">
        <f t="shared" si="10"/>
        <v>3.5</v>
      </c>
      <c r="G361" s="3">
        <f t="shared" si="11"/>
        <v>0</v>
      </c>
    </row>
    <row r="362" spans="1:7" x14ac:dyDescent="0.25">
      <c r="A362" s="3">
        <v>13245249</v>
      </c>
      <c r="B362" s="3">
        <v>5.6000000000000001E-2</v>
      </c>
      <c r="C362" s="3">
        <v>3</v>
      </c>
      <c r="D362" s="3">
        <v>0.75</v>
      </c>
      <c r="E362" s="3">
        <f>+VLOOKUP(A362,'[1]Reporte Canjes Meals'!$A:$K,10,0)</f>
        <v>2</v>
      </c>
      <c r="F362" s="3">
        <f t="shared" si="10"/>
        <v>0.5</v>
      </c>
      <c r="G362" s="3">
        <f t="shared" si="11"/>
        <v>0.25</v>
      </c>
    </row>
    <row r="363" spans="1:7" x14ac:dyDescent="0.25">
      <c r="A363" s="3">
        <v>13248359</v>
      </c>
      <c r="B363" s="3">
        <v>7.3999999999999996E-2</v>
      </c>
      <c r="C363" s="3">
        <v>4</v>
      </c>
      <c r="D363" s="3">
        <v>1</v>
      </c>
      <c r="E363" s="3">
        <f>+VLOOKUP(A363,'[1]Reporte Canjes Meals'!$A:$K,10,0)</f>
        <v>4</v>
      </c>
      <c r="F363" s="3">
        <f t="shared" si="10"/>
        <v>1</v>
      </c>
      <c r="G363" s="3">
        <f t="shared" si="11"/>
        <v>0</v>
      </c>
    </row>
    <row r="364" spans="1:7" x14ac:dyDescent="0.25">
      <c r="A364" s="3">
        <v>13248768</v>
      </c>
      <c r="B364" s="3">
        <v>9.2999999999999999E-2</v>
      </c>
      <c r="C364" s="3">
        <v>5</v>
      </c>
      <c r="D364" s="3">
        <v>1.25</v>
      </c>
      <c r="E364" s="3">
        <f>+VLOOKUP(A364,'[1]Reporte Canjes Meals'!$A:$K,10,0)</f>
        <v>8</v>
      </c>
      <c r="F364" s="3">
        <f t="shared" si="10"/>
        <v>2</v>
      </c>
      <c r="G364" s="3">
        <f t="shared" si="11"/>
        <v>-0.75</v>
      </c>
    </row>
    <row r="365" spans="1:7" x14ac:dyDescent="0.25">
      <c r="A365" s="3">
        <v>13299170</v>
      </c>
      <c r="B365" s="3">
        <v>0.372</v>
      </c>
      <c r="C365" s="3">
        <v>20</v>
      </c>
      <c r="D365" s="3">
        <v>5</v>
      </c>
      <c r="E365" s="3">
        <f>+VLOOKUP(A365,'[1]Reporte Canjes Meals'!$A:$K,10,0)</f>
        <v>13</v>
      </c>
      <c r="F365" s="3">
        <f t="shared" si="10"/>
        <v>3.25</v>
      </c>
      <c r="G365" s="3">
        <f t="shared" si="11"/>
        <v>1.75</v>
      </c>
    </row>
    <row r="366" spans="1:7" x14ac:dyDescent="0.25">
      <c r="A366" s="3">
        <v>13311707</v>
      </c>
      <c r="B366" s="3">
        <v>0.223</v>
      </c>
      <c r="C366" s="3">
        <v>12</v>
      </c>
      <c r="D366" s="3">
        <v>3</v>
      </c>
      <c r="E366" s="3">
        <f>+VLOOKUP(A366,'[1]Reporte Canjes Meals'!$A:$K,10,0)</f>
        <v>0</v>
      </c>
      <c r="F366" s="3">
        <f t="shared" si="10"/>
        <v>0</v>
      </c>
      <c r="G366" s="3">
        <f t="shared" si="11"/>
        <v>3</v>
      </c>
    </row>
    <row r="367" spans="1:7" x14ac:dyDescent="0.25">
      <c r="A367" s="3">
        <v>13313228</v>
      </c>
      <c r="B367" s="3">
        <v>0.55800000000000005</v>
      </c>
      <c r="C367" s="3">
        <v>30</v>
      </c>
      <c r="D367" s="3">
        <v>7.5</v>
      </c>
      <c r="E367" s="3">
        <f>+VLOOKUP(A367,'[1]Reporte Canjes Meals'!$A:$K,10,0)</f>
        <v>0</v>
      </c>
      <c r="F367" s="3">
        <f t="shared" si="10"/>
        <v>0</v>
      </c>
      <c r="G367" s="3">
        <f t="shared" si="11"/>
        <v>7.5</v>
      </c>
    </row>
    <row r="368" spans="1:7" x14ac:dyDescent="0.25">
      <c r="A368" s="3">
        <v>13318155</v>
      </c>
      <c r="B368" s="3">
        <v>0.192</v>
      </c>
      <c r="C368" s="3">
        <v>9</v>
      </c>
      <c r="D368" s="3">
        <v>2.25</v>
      </c>
      <c r="E368" s="3">
        <f>+VLOOKUP(A368,'[1]Reporte Canjes Meals'!$A:$K,10,0)</f>
        <v>0</v>
      </c>
      <c r="F368" s="3">
        <f t="shared" si="10"/>
        <v>0</v>
      </c>
      <c r="G368" s="3">
        <f t="shared" si="11"/>
        <v>2.25</v>
      </c>
    </row>
    <row r="369" spans="1:7" x14ac:dyDescent="0.25">
      <c r="A369" s="3">
        <v>13322903</v>
      </c>
      <c r="B369" s="3">
        <v>7.4999999999999997E-2</v>
      </c>
      <c r="C369" s="3">
        <v>4</v>
      </c>
      <c r="D369" s="3">
        <v>1</v>
      </c>
      <c r="E369" s="3">
        <f>+VLOOKUP(A369,'[1]Reporte Canjes Meals'!$A:$K,10,0)</f>
        <v>0</v>
      </c>
      <c r="F369" s="3">
        <f t="shared" si="10"/>
        <v>0</v>
      </c>
      <c r="G369" s="3">
        <f t="shared" si="11"/>
        <v>1</v>
      </c>
    </row>
    <row r="370" spans="1:7" x14ac:dyDescent="0.25">
      <c r="A370" s="3">
        <v>13323002</v>
      </c>
      <c r="B370" s="3">
        <v>0.33500000000000002</v>
      </c>
      <c r="C370" s="3">
        <v>18</v>
      </c>
      <c r="D370" s="3">
        <v>4.5</v>
      </c>
      <c r="E370" s="3">
        <f>+VLOOKUP(A370,'[1]Reporte Canjes Meals'!$A:$K,10,0)</f>
        <v>0</v>
      </c>
      <c r="F370" s="3">
        <f t="shared" si="10"/>
        <v>0</v>
      </c>
      <c r="G370" s="3">
        <f t="shared" si="11"/>
        <v>4.5</v>
      </c>
    </row>
    <row r="371" spans="1:7" x14ac:dyDescent="0.25">
      <c r="A371" s="3">
        <v>13324133</v>
      </c>
      <c r="B371" s="3">
        <v>3.7999999999999999E-2</v>
      </c>
      <c r="C371" s="3">
        <v>2</v>
      </c>
      <c r="D371" s="3">
        <v>0.5</v>
      </c>
      <c r="E371" s="3">
        <f>+VLOOKUP(A371,'[1]Reporte Canjes Meals'!$A:$K,10,0)</f>
        <v>2</v>
      </c>
      <c r="F371" s="3">
        <f t="shared" si="10"/>
        <v>0.5</v>
      </c>
      <c r="G371" s="3">
        <f t="shared" si="11"/>
        <v>0</v>
      </c>
    </row>
    <row r="372" spans="1:7" x14ac:dyDescent="0.25">
      <c r="A372" s="3">
        <v>13343157</v>
      </c>
      <c r="B372" s="3">
        <v>7.3999999999999996E-2</v>
      </c>
      <c r="C372" s="3">
        <v>4</v>
      </c>
      <c r="D372" s="3">
        <v>1</v>
      </c>
      <c r="E372" s="3">
        <f>+VLOOKUP(A372,'[1]Reporte Canjes Meals'!$A:$K,10,0)</f>
        <v>4</v>
      </c>
      <c r="F372" s="3">
        <f t="shared" si="10"/>
        <v>1</v>
      </c>
      <c r="G372" s="3">
        <f t="shared" si="11"/>
        <v>0</v>
      </c>
    </row>
    <row r="373" spans="1:7" x14ac:dyDescent="0.25">
      <c r="A373" s="3">
        <v>13352587</v>
      </c>
      <c r="B373" s="3">
        <v>0.14899999999999999</v>
      </c>
      <c r="C373" s="3">
        <v>8</v>
      </c>
      <c r="D373" s="3">
        <v>2</v>
      </c>
      <c r="E373" s="3">
        <f>+VLOOKUP(A373,'[1]Reporte Canjes Meals'!$A:$K,10,0)</f>
        <v>8</v>
      </c>
      <c r="F373" s="3">
        <f t="shared" si="10"/>
        <v>2</v>
      </c>
      <c r="G373" s="3">
        <f t="shared" si="11"/>
        <v>0</v>
      </c>
    </row>
    <row r="374" spans="1:7" x14ac:dyDescent="0.25">
      <c r="A374" s="3">
        <v>13381643</v>
      </c>
      <c r="B374" s="3">
        <v>1.9E-2</v>
      </c>
      <c r="C374" s="3">
        <v>1</v>
      </c>
      <c r="D374" s="3">
        <v>0.25</v>
      </c>
      <c r="E374" s="3">
        <f>+VLOOKUP(A374,'[1]Reporte Canjes Meals'!$A:$K,10,0)</f>
        <v>0</v>
      </c>
      <c r="F374" s="3">
        <f t="shared" si="10"/>
        <v>0</v>
      </c>
      <c r="G374" s="3">
        <f t="shared" si="11"/>
        <v>0.25</v>
      </c>
    </row>
    <row r="375" spans="1:7" x14ac:dyDescent="0.25">
      <c r="A375" s="3">
        <v>13383103</v>
      </c>
      <c r="B375" s="3">
        <v>0.74399999999999999</v>
      </c>
      <c r="C375" s="3">
        <v>40</v>
      </c>
      <c r="D375" s="3">
        <v>10</v>
      </c>
      <c r="E375" s="3">
        <f>+VLOOKUP(A375,'[1]Reporte Canjes Meals'!$A:$K,10,0)</f>
        <v>0</v>
      </c>
      <c r="F375" s="3">
        <f t="shared" si="10"/>
        <v>0</v>
      </c>
      <c r="G375" s="3">
        <f t="shared" si="11"/>
        <v>10</v>
      </c>
    </row>
    <row r="376" spans="1:7" x14ac:dyDescent="0.25">
      <c r="A376" s="3">
        <v>13383139</v>
      </c>
      <c r="B376" s="3">
        <v>0.112</v>
      </c>
      <c r="C376" s="3">
        <v>6</v>
      </c>
      <c r="D376" s="3">
        <v>1.5</v>
      </c>
      <c r="E376" s="3">
        <f>+VLOOKUP(A376,'[1]Reporte Canjes Meals'!$A:$K,10,0)</f>
        <v>6</v>
      </c>
      <c r="F376" s="3">
        <f t="shared" si="10"/>
        <v>1.5</v>
      </c>
      <c r="G376" s="3">
        <f t="shared" si="11"/>
        <v>0</v>
      </c>
    </row>
    <row r="377" spans="1:7" x14ac:dyDescent="0.25">
      <c r="A377" s="3">
        <v>13385614</v>
      </c>
      <c r="B377" s="3">
        <v>0.223</v>
      </c>
      <c r="C377" s="3">
        <v>12</v>
      </c>
      <c r="D377" s="3">
        <v>3</v>
      </c>
      <c r="E377" s="3">
        <f>+VLOOKUP(A377,'[1]Reporte Canjes Meals'!$A:$K,10,0)</f>
        <v>0</v>
      </c>
      <c r="F377" s="3">
        <f t="shared" si="10"/>
        <v>0</v>
      </c>
      <c r="G377" s="3">
        <f t="shared" si="11"/>
        <v>3</v>
      </c>
    </row>
    <row r="378" spans="1:7" x14ac:dyDescent="0.25">
      <c r="A378" s="3">
        <v>13405388</v>
      </c>
      <c r="B378" s="3">
        <v>9.2999999999999999E-2</v>
      </c>
      <c r="C378" s="3">
        <v>5</v>
      </c>
      <c r="D378" s="3">
        <v>1.25</v>
      </c>
      <c r="E378" s="3">
        <f>+VLOOKUP(A378,'[1]Reporte Canjes Meals'!$A:$K,10,0)</f>
        <v>4</v>
      </c>
      <c r="F378" s="3">
        <f t="shared" si="10"/>
        <v>1</v>
      </c>
      <c r="G378" s="3">
        <f t="shared" si="11"/>
        <v>0.25</v>
      </c>
    </row>
    <row r="379" spans="1:7" x14ac:dyDescent="0.25">
      <c r="A379" s="3">
        <v>13406046</v>
      </c>
      <c r="B379" s="3">
        <v>5.6000000000000001E-2</v>
      </c>
      <c r="C379" s="3">
        <v>3</v>
      </c>
      <c r="D379" s="3">
        <v>0.75</v>
      </c>
      <c r="E379" s="3">
        <f>+VLOOKUP(A379,'[1]Reporte Canjes Meals'!$A:$K,10,0)</f>
        <v>3</v>
      </c>
      <c r="F379" s="3">
        <f t="shared" si="10"/>
        <v>0.75</v>
      </c>
      <c r="G379" s="3">
        <f t="shared" si="11"/>
        <v>0</v>
      </c>
    </row>
    <row r="380" spans="1:7" x14ac:dyDescent="0.25">
      <c r="A380" s="3">
        <v>13408138</v>
      </c>
      <c r="B380" s="3">
        <v>1.9E-2</v>
      </c>
      <c r="C380" s="3">
        <v>1</v>
      </c>
      <c r="D380" s="3">
        <v>0.25</v>
      </c>
      <c r="E380" s="3">
        <f>+VLOOKUP(A380,'[1]Reporte Canjes Meals'!$A:$K,10,0)</f>
        <v>0</v>
      </c>
      <c r="F380" s="3">
        <f t="shared" si="10"/>
        <v>0</v>
      </c>
      <c r="G380" s="3">
        <f t="shared" si="11"/>
        <v>0.25</v>
      </c>
    </row>
    <row r="381" spans="1:7" x14ac:dyDescent="0.25">
      <c r="A381" s="3">
        <v>13408204</v>
      </c>
      <c r="B381" s="3">
        <v>0.55800000000000005</v>
      </c>
      <c r="C381" s="3">
        <v>30</v>
      </c>
      <c r="D381" s="3">
        <v>7.5</v>
      </c>
      <c r="E381" s="3">
        <f>+VLOOKUP(A381,'[1]Reporte Canjes Meals'!$A:$K,10,0)</f>
        <v>20</v>
      </c>
      <c r="F381" s="3">
        <f t="shared" si="10"/>
        <v>5</v>
      </c>
      <c r="G381" s="3">
        <f t="shared" si="11"/>
        <v>2.5</v>
      </c>
    </row>
    <row r="382" spans="1:7" x14ac:dyDescent="0.25">
      <c r="A382" s="3">
        <v>13440957</v>
      </c>
      <c r="B382" s="3">
        <v>7.3999999999999996E-2</v>
      </c>
      <c r="C382" s="3">
        <v>4</v>
      </c>
      <c r="D382" s="3">
        <v>1</v>
      </c>
      <c r="E382" s="3">
        <f>+VLOOKUP(A382,'[1]Reporte Canjes Meals'!$A:$K,10,0)</f>
        <v>4</v>
      </c>
      <c r="F382" s="3">
        <f t="shared" si="10"/>
        <v>1</v>
      </c>
      <c r="G382" s="3">
        <f t="shared" si="11"/>
        <v>0</v>
      </c>
    </row>
    <row r="383" spans="1:7" x14ac:dyDescent="0.25">
      <c r="A383" s="3">
        <v>13445056</v>
      </c>
      <c r="B383" s="3">
        <v>0.35399999999999998</v>
      </c>
      <c r="C383" s="3">
        <v>19</v>
      </c>
      <c r="D383" s="3">
        <v>4.75</v>
      </c>
      <c r="E383" s="3">
        <f>+VLOOKUP(A383,'[1]Reporte Canjes Meals'!$A:$K,10,0)</f>
        <v>0</v>
      </c>
      <c r="F383" s="3">
        <f t="shared" si="10"/>
        <v>0</v>
      </c>
      <c r="G383" s="3">
        <f t="shared" si="11"/>
        <v>4.75</v>
      </c>
    </row>
    <row r="384" spans="1:7" x14ac:dyDescent="0.25">
      <c r="A384" s="3">
        <v>13468990</v>
      </c>
      <c r="B384" s="3">
        <v>7.4999999999999997E-2</v>
      </c>
      <c r="C384" s="3">
        <v>4</v>
      </c>
      <c r="D384" s="3">
        <v>1</v>
      </c>
      <c r="E384" s="3">
        <f>+VLOOKUP(A384,'[1]Reporte Canjes Meals'!$A:$K,10,0)</f>
        <v>0</v>
      </c>
      <c r="F384" s="3">
        <f t="shared" si="10"/>
        <v>0</v>
      </c>
      <c r="G384" s="3">
        <f t="shared" si="11"/>
        <v>1</v>
      </c>
    </row>
    <row r="385" spans="1:7" x14ac:dyDescent="0.25">
      <c r="A385" s="3">
        <v>13471716</v>
      </c>
      <c r="B385" s="3">
        <v>0.223</v>
      </c>
      <c r="C385" s="3">
        <v>12</v>
      </c>
      <c r="D385" s="3">
        <v>3</v>
      </c>
      <c r="E385" s="3">
        <f>+VLOOKUP(A385,'[1]Reporte Canjes Meals'!$A:$K,10,0)</f>
        <v>0</v>
      </c>
      <c r="F385" s="3">
        <f t="shared" si="10"/>
        <v>0</v>
      </c>
      <c r="G385" s="3">
        <f t="shared" si="11"/>
        <v>3</v>
      </c>
    </row>
    <row r="386" spans="1:7" x14ac:dyDescent="0.25">
      <c r="A386" s="3">
        <v>13486782</v>
      </c>
      <c r="B386" s="3">
        <v>0.372</v>
      </c>
      <c r="C386" s="3">
        <v>20</v>
      </c>
      <c r="D386" s="3">
        <v>5</v>
      </c>
      <c r="E386" s="3">
        <f>+VLOOKUP(A386,'[1]Reporte Canjes Meals'!$A:$K,10,0)</f>
        <v>0</v>
      </c>
      <c r="F386" s="3">
        <f t="shared" si="10"/>
        <v>0</v>
      </c>
      <c r="G386" s="3">
        <f t="shared" si="11"/>
        <v>5</v>
      </c>
    </row>
    <row r="387" spans="1:7" x14ac:dyDescent="0.25">
      <c r="A387" s="3">
        <v>13486888</v>
      </c>
      <c r="B387" s="3">
        <v>1.9E-2</v>
      </c>
      <c r="C387" s="3">
        <v>1</v>
      </c>
      <c r="D387" s="3">
        <v>0.25</v>
      </c>
      <c r="E387" s="3">
        <f>+VLOOKUP(A387,'[1]Reporte Canjes Meals'!$A:$K,10,0)</f>
        <v>0</v>
      </c>
      <c r="F387" s="3">
        <f t="shared" ref="F387:F450" si="12">+E387/4</f>
        <v>0</v>
      </c>
      <c r="G387" s="3">
        <f t="shared" ref="G387:G450" si="13">+D387-F387</f>
        <v>0.25</v>
      </c>
    </row>
    <row r="388" spans="1:7" x14ac:dyDescent="0.25">
      <c r="A388" s="3">
        <v>13487415</v>
      </c>
      <c r="B388" s="3">
        <v>1.302</v>
      </c>
      <c r="C388" s="3">
        <v>70</v>
      </c>
      <c r="D388" s="3">
        <v>17.5</v>
      </c>
      <c r="E388" s="3">
        <f>+VLOOKUP(A388,'[1]Reporte Canjes Meals'!$A:$K,10,0)</f>
        <v>0</v>
      </c>
      <c r="F388" s="3">
        <f t="shared" si="12"/>
        <v>0</v>
      </c>
      <c r="G388" s="3">
        <f t="shared" si="13"/>
        <v>17.5</v>
      </c>
    </row>
    <row r="389" spans="1:7" x14ac:dyDescent="0.25">
      <c r="A389" s="3">
        <v>13489033</v>
      </c>
      <c r="B389" s="3">
        <v>0.13</v>
      </c>
      <c r="C389" s="3">
        <v>7</v>
      </c>
      <c r="D389" s="3">
        <v>1.75</v>
      </c>
      <c r="E389" s="3">
        <f>+VLOOKUP(A389,'[1]Reporte Canjes Meals'!$A:$K,10,0)</f>
        <v>0</v>
      </c>
      <c r="F389" s="3">
        <f t="shared" si="12"/>
        <v>0</v>
      </c>
      <c r="G389" s="3">
        <f t="shared" si="13"/>
        <v>1.75</v>
      </c>
    </row>
    <row r="390" spans="1:7" x14ac:dyDescent="0.25">
      <c r="A390" s="3">
        <v>13489790</v>
      </c>
      <c r="B390" s="3">
        <v>0.29799999999999999</v>
      </c>
      <c r="C390" s="3">
        <v>16</v>
      </c>
      <c r="D390" s="3">
        <v>4</v>
      </c>
      <c r="E390" s="3" t="e">
        <f>+VLOOKUP(A390,'[1]Reporte Canjes Meals'!$A:$K,10,0)</f>
        <v>#N/A</v>
      </c>
      <c r="F390" s="3" t="e">
        <f t="shared" si="12"/>
        <v>#N/A</v>
      </c>
      <c r="G390" s="3" t="e">
        <f t="shared" si="13"/>
        <v>#N/A</v>
      </c>
    </row>
    <row r="391" spans="1:7" x14ac:dyDescent="0.25">
      <c r="A391" s="3">
        <v>13492290</v>
      </c>
      <c r="B391" s="3">
        <v>7.3999999999999996E-2</v>
      </c>
      <c r="C391" s="3">
        <v>4</v>
      </c>
      <c r="D391" s="3">
        <v>1</v>
      </c>
      <c r="E391" s="3">
        <f>+VLOOKUP(A391,'[1]Reporte Canjes Meals'!$A:$K,10,0)</f>
        <v>1</v>
      </c>
      <c r="F391" s="3">
        <f t="shared" si="12"/>
        <v>0.25</v>
      </c>
      <c r="G391" s="3">
        <f t="shared" si="13"/>
        <v>0.75</v>
      </c>
    </row>
    <row r="392" spans="1:7" x14ac:dyDescent="0.25">
      <c r="A392" s="3">
        <v>13492303</v>
      </c>
      <c r="B392" s="3">
        <v>7.3999999999999996E-2</v>
      </c>
      <c r="C392" s="3">
        <v>4</v>
      </c>
      <c r="D392" s="3">
        <v>1</v>
      </c>
      <c r="E392" s="3">
        <f>+VLOOKUP(A392,'[1]Reporte Canjes Meals'!$A:$K,10,0)</f>
        <v>0</v>
      </c>
      <c r="F392" s="3">
        <f t="shared" si="12"/>
        <v>0</v>
      </c>
      <c r="G392" s="3">
        <f t="shared" si="13"/>
        <v>1</v>
      </c>
    </row>
    <row r="393" spans="1:7" x14ac:dyDescent="0.25">
      <c r="A393" s="3">
        <v>13493154</v>
      </c>
      <c r="B393" s="3">
        <v>9.2999999999999999E-2</v>
      </c>
      <c r="C393" s="3">
        <v>5</v>
      </c>
      <c r="D393" s="3">
        <v>1.25</v>
      </c>
      <c r="E393" s="3">
        <f>+VLOOKUP(A393,'[1]Reporte Canjes Meals'!$A:$K,10,0)</f>
        <v>0</v>
      </c>
      <c r="F393" s="3">
        <f t="shared" si="12"/>
        <v>0</v>
      </c>
      <c r="G393" s="3">
        <f t="shared" si="13"/>
        <v>1.25</v>
      </c>
    </row>
    <row r="394" spans="1:7" x14ac:dyDescent="0.25">
      <c r="A394" s="3">
        <v>13508970</v>
      </c>
      <c r="B394" s="3">
        <v>0.112</v>
      </c>
      <c r="C394" s="3">
        <v>6</v>
      </c>
      <c r="D394" s="3">
        <v>1.5</v>
      </c>
      <c r="E394" s="3">
        <f>+VLOOKUP(A394,'[1]Reporte Canjes Meals'!$A:$K,10,0)</f>
        <v>0</v>
      </c>
      <c r="F394" s="3">
        <f t="shared" si="12"/>
        <v>0</v>
      </c>
      <c r="G394" s="3">
        <f t="shared" si="13"/>
        <v>1.5</v>
      </c>
    </row>
    <row r="395" spans="1:7" x14ac:dyDescent="0.25">
      <c r="A395" s="3">
        <v>13511595</v>
      </c>
      <c r="B395" s="3">
        <v>0.14899999999999999</v>
      </c>
      <c r="C395" s="3">
        <v>8</v>
      </c>
      <c r="D395" s="3">
        <v>2</v>
      </c>
      <c r="E395" s="3">
        <f>+VLOOKUP(A395,'[1]Reporte Canjes Meals'!$A:$K,10,0)</f>
        <v>0</v>
      </c>
      <c r="F395" s="3">
        <f t="shared" si="12"/>
        <v>0</v>
      </c>
      <c r="G395" s="3">
        <f t="shared" si="13"/>
        <v>2</v>
      </c>
    </row>
    <row r="396" spans="1:7" x14ac:dyDescent="0.25">
      <c r="A396" s="3">
        <v>13512787</v>
      </c>
      <c r="B396" s="3">
        <v>0.79900000000000004</v>
      </c>
      <c r="C396" s="3">
        <v>43</v>
      </c>
      <c r="D396" s="3">
        <v>10.75</v>
      </c>
      <c r="E396" s="3">
        <f>+VLOOKUP(A396,'[1]Reporte Canjes Meals'!$A:$K,10,0)</f>
        <v>0</v>
      </c>
      <c r="F396" s="3">
        <f t="shared" si="12"/>
        <v>0</v>
      </c>
      <c r="G396" s="3">
        <f t="shared" si="13"/>
        <v>10.75</v>
      </c>
    </row>
    <row r="397" spans="1:7" x14ac:dyDescent="0.25">
      <c r="A397" s="3">
        <v>13513911</v>
      </c>
      <c r="B397" s="3">
        <v>0.66900000000000004</v>
      </c>
      <c r="C397" s="3">
        <v>36</v>
      </c>
      <c r="D397" s="3">
        <v>9</v>
      </c>
      <c r="E397" s="3">
        <f>+VLOOKUP(A397,'[1]Reporte Canjes Meals'!$A:$K,10,0)</f>
        <v>23</v>
      </c>
      <c r="F397" s="3">
        <f t="shared" si="12"/>
        <v>5.75</v>
      </c>
      <c r="G397" s="3">
        <f t="shared" si="13"/>
        <v>3.25</v>
      </c>
    </row>
    <row r="398" spans="1:7" x14ac:dyDescent="0.25">
      <c r="A398" s="3">
        <v>13513912</v>
      </c>
      <c r="B398" s="3">
        <v>0.48299999999999998</v>
      </c>
      <c r="C398" s="3">
        <v>26</v>
      </c>
      <c r="D398" s="3">
        <v>6.5</v>
      </c>
      <c r="E398" s="3">
        <f>+VLOOKUP(A398,'[1]Reporte Canjes Meals'!$A:$K,10,0)</f>
        <v>17</v>
      </c>
      <c r="F398" s="3">
        <f t="shared" si="12"/>
        <v>4.25</v>
      </c>
      <c r="G398" s="3">
        <f t="shared" si="13"/>
        <v>2.25</v>
      </c>
    </row>
    <row r="399" spans="1:7" x14ac:dyDescent="0.25">
      <c r="A399" s="3">
        <v>13515087</v>
      </c>
      <c r="B399" s="3">
        <v>7.3999999999999996E-2</v>
      </c>
      <c r="C399" s="3">
        <v>4</v>
      </c>
      <c r="D399" s="3">
        <v>1</v>
      </c>
      <c r="E399" s="3">
        <f>+VLOOKUP(A399,'[1]Reporte Canjes Meals'!$A:$K,10,0)</f>
        <v>0</v>
      </c>
      <c r="F399" s="3">
        <f t="shared" si="12"/>
        <v>0</v>
      </c>
      <c r="G399" s="3">
        <f t="shared" si="13"/>
        <v>1</v>
      </c>
    </row>
    <row r="400" spans="1:7" x14ac:dyDescent="0.25">
      <c r="A400" s="3">
        <v>13517536</v>
      </c>
      <c r="B400" s="3">
        <v>0.112</v>
      </c>
      <c r="C400" s="3">
        <v>6</v>
      </c>
      <c r="D400" s="3">
        <v>1.5</v>
      </c>
      <c r="E400" s="3">
        <f>+VLOOKUP(A400,'[1]Reporte Canjes Meals'!$A:$K,10,0)</f>
        <v>0</v>
      </c>
      <c r="F400" s="3">
        <f t="shared" si="12"/>
        <v>0</v>
      </c>
      <c r="G400" s="3">
        <f t="shared" si="13"/>
        <v>1.5</v>
      </c>
    </row>
    <row r="401" spans="1:7" x14ac:dyDescent="0.25">
      <c r="A401" s="3">
        <v>13517671</v>
      </c>
      <c r="B401" s="3">
        <v>1.9E-2</v>
      </c>
      <c r="C401" s="3">
        <v>1</v>
      </c>
      <c r="D401" s="3">
        <v>0.25</v>
      </c>
      <c r="E401" s="3">
        <f>+VLOOKUP(A401,'[1]Reporte Canjes Meals'!$A:$K,10,0)</f>
        <v>0</v>
      </c>
      <c r="F401" s="3">
        <f t="shared" si="12"/>
        <v>0</v>
      </c>
      <c r="G401" s="3">
        <f t="shared" si="13"/>
        <v>0.25</v>
      </c>
    </row>
    <row r="402" spans="1:7" x14ac:dyDescent="0.25">
      <c r="A402" s="3">
        <v>13520612</v>
      </c>
      <c r="B402" s="3">
        <v>0.24399999999999999</v>
      </c>
      <c r="C402" s="3">
        <v>13</v>
      </c>
      <c r="D402" s="3">
        <v>3.25</v>
      </c>
      <c r="E402" s="3">
        <f>+VLOOKUP(A402,'[1]Reporte Canjes Meals'!$A:$K,10,0)</f>
        <v>0</v>
      </c>
      <c r="F402" s="3">
        <f t="shared" si="12"/>
        <v>0</v>
      </c>
      <c r="G402" s="3">
        <f t="shared" si="13"/>
        <v>3.25</v>
      </c>
    </row>
    <row r="403" spans="1:7" x14ac:dyDescent="0.25">
      <c r="A403" s="3">
        <v>13520717</v>
      </c>
      <c r="B403" s="3">
        <v>0.223</v>
      </c>
      <c r="C403" s="3">
        <v>12</v>
      </c>
      <c r="D403" s="3">
        <v>3</v>
      </c>
      <c r="E403" s="3">
        <f>+VLOOKUP(A403,'[1]Reporte Canjes Meals'!$A:$K,10,0)</f>
        <v>12</v>
      </c>
      <c r="F403" s="3">
        <f t="shared" si="12"/>
        <v>3</v>
      </c>
      <c r="G403" s="3">
        <f t="shared" si="13"/>
        <v>0</v>
      </c>
    </row>
    <row r="404" spans="1:7" x14ac:dyDescent="0.25">
      <c r="A404" s="3">
        <v>13530121</v>
      </c>
      <c r="B404" s="3">
        <v>3.7999999999999999E-2</v>
      </c>
      <c r="C404" s="3">
        <v>2</v>
      </c>
      <c r="D404" s="3">
        <v>0.5</v>
      </c>
      <c r="E404" s="3">
        <f>+VLOOKUP(A404,'[1]Reporte Canjes Meals'!$A:$K,10,0)</f>
        <v>0</v>
      </c>
      <c r="F404" s="3">
        <f t="shared" si="12"/>
        <v>0</v>
      </c>
      <c r="G404" s="3">
        <f t="shared" si="13"/>
        <v>0.5</v>
      </c>
    </row>
    <row r="405" spans="1:7" x14ac:dyDescent="0.25">
      <c r="A405" s="3">
        <v>13531399</v>
      </c>
      <c r="B405" s="3">
        <v>0.14899999999999999</v>
      </c>
      <c r="C405" s="3">
        <v>8</v>
      </c>
      <c r="D405" s="3">
        <v>2</v>
      </c>
      <c r="E405" s="3">
        <f>+VLOOKUP(A405,'[1]Reporte Canjes Meals'!$A:$K,10,0)</f>
        <v>0</v>
      </c>
      <c r="F405" s="3">
        <f t="shared" si="12"/>
        <v>0</v>
      </c>
      <c r="G405" s="3">
        <f t="shared" si="13"/>
        <v>2</v>
      </c>
    </row>
    <row r="406" spans="1:7" x14ac:dyDescent="0.25">
      <c r="A406" s="3">
        <v>13531616</v>
      </c>
      <c r="B406" s="3">
        <v>0.112</v>
      </c>
      <c r="C406" s="3">
        <v>6</v>
      </c>
      <c r="D406" s="3">
        <v>1.5</v>
      </c>
      <c r="E406" s="3">
        <f>+VLOOKUP(A406,'[1]Reporte Canjes Meals'!$A:$K,10,0)</f>
        <v>0</v>
      </c>
      <c r="F406" s="3">
        <f t="shared" si="12"/>
        <v>0</v>
      </c>
      <c r="G406" s="3">
        <f t="shared" si="13"/>
        <v>1.5</v>
      </c>
    </row>
    <row r="407" spans="1:7" x14ac:dyDescent="0.25">
      <c r="A407" s="3">
        <v>13540067</v>
      </c>
      <c r="B407" s="3">
        <v>0.16800000000000001</v>
      </c>
      <c r="C407" s="3">
        <v>9</v>
      </c>
      <c r="D407" s="3">
        <v>2.25</v>
      </c>
      <c r="E407" s="3">
        <f>+VLOOKUP(A407,'[1]Reporte Canjes Meals'!$A:$K,10,0)</f>
        <v>3</v>
      </c>
      <c r="F407" s="3">
        <f t="shared" si="12"/>
        <v>0.75</v>
      </c>
      <c r="G407" s="3">
        <f t="shared" si="13"/>
        <v>1.5</v>
      </c>
    </row>
    <row r="408" spans="1:7" x14ac:dyDescent="0.25">
      <c r="A408" s="3">
        <v>13540753</v>
      </c>
      <c r="B408" s="3">
        <v>0.372</v>
      </c>
      <c r="C408" s="3">
        <v>20</v>
      </c>
      <c r="D408" s="3">
        <v>5</v>
      </c>
      <c r="E408" s="3">
        <f>+VLOOKUP(A408,'[1]Reporte Canjes Meals'!$A:$K,10,0)</f>
        <v>12</v>
      </c>
      <c r="F408" s="3">
        <f t="shared" si="12"/>
        <v>3</v>
      </c>
      <c r="G408" s="3">
        <f t="shared" si="13"/>
        <v>2</v>
      </c>
    </row>
    <row r="409" spans="1:7" x14ac:dyDescent="0.25">
      <c r="A409" s="3">
        <v>13540980</v>
      </c>
      <c r="B409" s="3">
        <v>0.112</v>
      </c>
      <c r="C409" s="3">
        <v>6</v>
      </c>
      <c r="D409" s="3">
        <v>1.5</v>
      </c>
      <c r="E409" s="3">
        <f>+VLOOKUP(A409,'[1]Reporte Canjes Meals'!$A:$K,10,0)</f>
        <v>6</v>
      </c>
      <c r="F409" s="3">
        <f t="shared" si="12"/>
        <v>1.5</v>
      </c>
      <c r="G409" s="3">
        <f t="shared" si="13"/>
        <v>0</v>
      </c>
    </row>
    <row r="410" spans="1:7" x14ac:dyDescent="0.25">
      <c r="A410" s="3">
        <v>13542284</v>
      </c>
      <c r="B410" s="3">
        <v>1.9E-2</v>
      </c>
      <c r="C410" s="3">
        <v>1</v>
      </c>
      <c r="D410" s="3">
        <v>0.25</v>
      </c>
      <c r="E410" s="3">
        <f>+VLOOKUP(A410,'[1]Reporte Canjes Meals'!$A:$K,10,0)</f>
        <v>0</v>
      </c>
      <c r="F410" s="3">
        <f t="shared" si="12"/>
        <v>0</v>
      </c>
      <c r="G410" s="3">
        <f t="shared" si="13"/>
        <v>0.25</v>
      </c>
    </row>
    <row r="411" spans="1:7" x14ac:dyDescent="0.25">
      <c r="A411" s="3">
        <v>13549318</v>
      </c>
      <c r="B411" s="3">
        <v>0.59499999999999997</v>
      </c>
      <c r="C411" s="3">
        <v>32</v>
      </c>
      <c r="D411" s="3">
        <v>8</v>
      </c>
      <c r="E411" s="3">
        <f>+VLOOKUP(A411,'[1]Reporte Canjes Meals'!$A:$K,10,0)</f>
        <v>12</v>
      </c>
      <c r="F411" s="3">
        <f t="shared" si="12"/>
        <v>3</v>
      </c>
      <c r="G411" s="3">
        <f t="shared" si="13"/>
        <v>5</v>
      </c>
    </row>
    <row r="412" spans="1:7" x14ac:dyDescent="0.25">
      <c r="A412" s="3">
        <v>13646809</v>
      </c>
      <c r="B412" s="3">
        <v>1.9E-2</v>
      </c>
      <c r="C412" s="3">
        <v>1</v>
      </c>
      <c r="D412" s="3">
        <v>0.25</v>
      </c>
      <c r="E412" s="3">
        <f>+VLOOKUP(A412,'[1]Reporte Canjes Meals'!$A:$K,10,0)</f>
        <v>0</v>
      </c>
      <c r="F412" s="3">
        <f t="shared" si="12"/>
        <v>0</v>
      </c>
      <c r="G412" s="3">
        <f t="shared" si="13"/>
        <v>0.25</v>
      </c>
    </row>
    <row r="413" spans="1:7" x14ac:dyDescent="0.25">
      <c r="A413" s="3">
        <v>13648121</v>
      </c>
      <c r="B413" s="3">
        <v>1.9E-2</v>
      </c>
      <c r="C413" s="3">
        <v>1</v>
      </c>
      <c r="D413" s="3">
        <v>0.25</v>
      </c>
      <c r="E413" s="3">
        <f>+VLOOKUP(A413,'[1]Reporte Canjes Meals'!$A:$K,10,0)</f>
        <v>0</v>
      </c>
      <c r="F413" s="3">
        <f t="shared" si="12"/>
        <v>0</v>
      </c>
      <c r="G413" s="3">
        <f t="shared" si="13"/>
        <v>0.25</v>
      </c>
    </row>
    <row r="414" spans="1:7" x14ac:dyDescent="0.25">
      <c r="A414" s="3">
        <v>13648961</v>
      </c>
      <c r="B414" s="3">
        <v>1.9E-2</v>
      </c>
      <c r="C414" s="3">
        <v>1</v>
      </c>
      <c r="D414" s="3">
        <v>0.25</v>
      </c>
      <c r="E414" s="3">
        <f>+VLOOKUP(A414,'[1]Reporte Canjes Meals'!$A:$K,10,0)</f>
        <v>0</v>
      </c>
      <c r="F414" s="3">
        <f t="shared" si="12"/>
        <v>0</v>
      </c>
      <c r="G414" s="3">
        <f t="shared" si="13"/>
        <v>0.25</v>
      </c>
    </row>
    <row r="415" spans="1:7" x14ac:dyDescent="0.25">
      <c r="A415" s="3">
        <v>13676954</v>
      </c>
      <c r="B415" s="3">
        <v>0.39</v>
      </c>
      <c r="C415" s="3">
        <v>21</v>
      </c>
      <c r="D415" s="3">
        <v>5.25</v>
      </c>
      <c r="E415" s="3">
        <f>+VLOOKUP(A415,'[1]Reporte Canjes Meals'!$A:$K,10,0)</f>
        <v>12</v>
      </c>
      <c r="F415" s="3">
        <f t="shared" si="12"/>
        <v>3</v>
      </c>
      <c r="G415" s="3">
        <f t="shared" si="13"/>
        <v>2.25</v>
      </c>
    </row>
    <row r="416" spans="1:7" x14ac:dyDescent="0.25">
      <c r="A416" s="3">
        <v>13682316</v>
      </c>
      <c r="B416" s="3">
        <v>0.223</v>
      </c>
      <c r="C416" s="3">
        <v>12</v>
      </c>
      <c r="D416" s="3">
        <v>3</v>
      </c>
      <c r="E416" s="3">
        <f>+VLOOKUP(A416,'[1]Reporte Canjes Meals'!$A:$K,10,0)</f>
        <v>12</v>
      </c>
      <c r="F416" s="3">
        <f t="shared" si="12"/>
        <v>3</v>
      </c>
      <c r="G416" s="3">
        <f t="shared" si="13"/>
        <v>0</v>
      </c>
    </row>
    <row r="417" spans="1:7" x14ac:dyDescent="0.25">
      <c r="A417" s="3">
        <v>13684869</v>
      </c>
      <c r="B417" s="3">
        <v>0.26</v>
      </c>
      <c r="C417" s="3">
        <v>14</v>
      </c>
      <c r="D417" s="3">
        <v>3.5</v>
      </c>
      <c r="E417" s="3">
        <f>+VLOOKUP(A417,'[1]Reporte Canjes Meals'!$A:$K,10,0)</f>
        <v>0</v>
      </c>
      <c r="F417" s="3">
        <f t="shared" si="12"/>
        <v>0</v>
      </c>
      <c r="G417" s="3">
        <f t="shared" si="13"/>
        <v>3.5</v>
      </c>
    </row>
    <row r="418" spans="1:7" x14ac:dyDescent="0.25">
      <c r="A418" s="3">
        <v>13689864</v>
      </c>
      <c r="B418" s="3">
        <v>7.4999999999999997E-2</v>
      </c>
      <c r="C418" s="3">
        <v>4</v>
      </c>
      <c r="D418" s="3">
        <v>1</v>
      </c>
      <c r="E418" s="3">
        <f>+VLOOKUP(A418,'[1]Reporte Canjes Meals'!$A:$K,10,0)</f>
        <v>0</v>
      </c>
      <c r="F418" s="3">
        <f t="shared" si="12"/>
        <v>0</v>
      </c>
      <c r="G418" s="3">
        <f t="shared" si="13"/>
        <v>1</v>
      </c>
    </row>
    <row r="419" spans="1:7" x14ac:dyDescent="0.25">
      <c r="A419" s="3">
        <v>13701995</v>
      </c>
      <c r="B419" s="3">
        <v>0.48299999999999998</v>
      </c>
      <c r="C419" s="3">
        <v>26</v>
      </c>
      <c r="D419" s="3">
        <v>6.5</v>
      </c>
      <c r="E419" s="3">
        <f>+VLOOKUP(A419,'[1]Reporte Canjes Meals'!$A:$K,10,0)</f>
        <v>26</v>
      </c>
      <c r="F419" s="3">
        <f t="shared" si="12"/>
        <v>6.5</v>
      </c>
      <c r="G419" s="3">
        <f t="shared" si="13"/>
        <v>0</v>
      </c>
    </row>
    <row r="420" spans="1:7" x14ac:dyDescent="0.25">
      <c r="A420" s="3">
        <v>13717432</v>
      </c>
      <c r="B420" s="3">
        <v>5.6000000000000001E-2</v>
      </c>
      <c r="C420" s="3">
        <v>3</v>
      </c>
      <c r="D420" s="3">
        <v>0.75</v>
      </c>
      <c r="E420" s="3">
        <f>+VLOOKUP(A420,'[1]Reporte Canjes Meals'!$A:$K,10,0)</f>
        <v>3</v>
      </c>
      <c r="F420" s="3">
        <f t="shared" si="12"/>
        <v>0.75</v>
      </c>
      <c r="G420" s="3">
        <f t="shared" si="13"/>
        <v>0</v>
      </c>
    </row>
    <row r="421" spans="1:7" x14ac:dyDescent="0.25">
      <c r="A421" s="3">
        <v>13727208</v>
      </c>
      <c r="B421" s="3">
        <v>7.4999999999999997E-2</v>
      </c>
      <c r="C421" s="3">
        <v>4</v>
      </c>
      <c r="D421" s="3">
        <v>1</v>
      </c>
      <c r="E421" s="3">
        <f>+VLOOKUP(A421,'[1]Reporte Canjes Meals'!$A:$K,10,0)</f>
        <v>0</v>
      </c>
      <c r="F421" s="3">
        <f t="shared" si="12"/>
        <v>0</v>
      </c>
      <c r="G421" s="3">
        <f t="shared" si="13"/>
        <v>1</v>
      </c>
    </row>
    <row r="422" spans="1:7" x14ac:dyDescent="0.25">
      <c r="A422" s="3">
        <v>13737108</v>
      </c>
      <c r="B422" s="3">
        <v>0.112</v>
      </c>
      <c r="C422" s="3">
        <v>6</v>
      </c>
      <c r="D422" s="3">
        <v>1.5</v>
      </c>
      <c r="E422" s="3">
        <f>+VLOOKUP(A422,'[1]Reporte Canjes Meals'!$A:$K,10,0)</f>
        <v>0</v>
      </c>
      <c r="F422" s="3">
        <f t="shared" si="12"/>
        <v>0</v>
      </c>
      <c r="G422" s="3">
        <f t="shared" si="13"/>
        <v>1.5</v>
      </c>
    </row>
    <row r="423" spans="1:7" x14ac:dyDescent="0.25">
      <c r="A423" s="3">
        <v>13741893</v>
      </c>
      <c r="B423" s="3">
        <v>0.224</v>
      </c>
      <c r="C423" s="3">
        <v>12</v>
      </c>
      <c r="D423" s="3">
        <v>3</v>
      </c>
      <c r="E423" s="3">
        <f>+VLOOKUP(A423,'[1]Reporte Canjes Meals'!$A:$K,10,0)</f>
        <v>0</v>
      </c>
      <c r="F423" s="3">
        <f t="shared" si="12"/>
        <v>0</v>
      </c>
      <c r="G423" s="3">
        <f t="shared" si="13"/>
        <v>3</v>
      </c>
    </row>
    <row r="424" spans="1:7" x14ac:dyDescent="0.25">
      <c r="A424" s="3">
        <v>13747816</v>
      </c>
      <c r="B424" s="3">
        <v>7.3999999999999996E-2</v>
      </c>
      <c r="C424" s="3">
        <v>4</v>
      </c>
      <c r="D424" s="3">
        <v>1</v>
      </c>
      <c r="E424" s="3">
        <f>+VLOOKUP(A424,'[1]Reporte Canjes Meals'!$A:$K,10,0)</f>
        <v>4</v>
      </c>
      <c r="F424" s="3">
        <f t="shared" si="12"/>
        <v>1</v>
      </c>
      <c r="G424" s="3">
        <f t="shared" si="13"/>
        <v>0</v>
      </c>
    </row>
    <row r="425" spans="1:7" x14ac:dyDescent="0.25">
      <c r="A425" s="3">
        <v>13755423</v>
      </c>
      <c r="B425" s="3">
        <v>1.9E-2</v>
      </c>
      <c r="C425" s="3">
        <v>1</v>
      </c>
      <c r="D425" s="3">
        <v>0.25</v>
      </c>
      <c r="E425" s="3">
        <f>+VLOOKUP(A425,'[1]Reporte Canjes Meals'!$A:$K,10,0)</f>
        <v>1</v>
      </c>
      <c r="F425" s="3">
        <f t="shared" si="12"/>
        <v>0.25</v>
      </c>
      <c r="G425" s="3">
        <f t="shared" si="13"/>
        <v>0</v>
      </c>
    </row>
    <row r="426" spans="1:7" x14ac:dyDescent="0.25">
      <c r="A426" s="3">
        <v>13755922</v>
      </c>
      <c r="B426" s="3">
        <v>3.6999999999999998E-2</v>
      </c>
      <c r="C426" s="3">
        <v>2</v>
      </c>
      <c r="D426" s="3">
        <v>0.5</v>
      </c>
      <c r="E426" s="3">
        <f>+VLOOKUP(A426,'[1]Reporte Canjes Meals'!$A:$K,10,0)</f>
        <v>2</v>
      </c>
      <c r="F426" s="3">
        <f t="shared" si="12"/>
        <v>0.5</v>
      </c>
      <c r="G426" s="3">
        <f t="shared" si="13"/>
        <v>0</v>
      </c>
    </row>
    <row r="427" spans="1:7" x14ac:dyDescent="0.25">
      <c r="A427" s="3">
        <v>13757085</v>
      </c>
      <c r="B427" s="3">
        <v>7.3999999999999996E-2</v>
      </c>
      <c r="C427" s="3">
        <v>4</v>
      </c>
      <c r="D427" s="3">
        <v>1</v>
      </c>
      <c r="E427" s="3">
        <f>+VLOOKUP(A427,'[1]Reporte Canjes Meals'!$A:$K,10,0)</f>
        <v>4</v>
      </c>
      <c r="F427" s="3">
        <f t="shared" si="12"/>
        <v>1</v>
      </c>
      <c r="G427" s="3">
        <f t="shared" si="13"/>
        <v>0</v>
      </c>
    </row>
    <row r="428" spans="1:7" x14ac:dyDescent="0.25">
      <c r="A428" s="3">
        <v>13757364</v>
      </c>
      <c r="B428" s="3">
        <v>3.6999999999999998E-2</v>
      </c>
      <c r="C428" s="3">
        <v>2</v>
      </c>
      <c r="D428" s="3">
        <v>0.5</v>
      </c>
      <c r="E428" s="3">
        <f>+VLOOKUP(A428,'[1]Reporte Canjes Meals'!$A:$K,10,0)</f>
        <v>0</v>
      </c>
      <c r="F428" s="3">
        <f t="shared" si="12"/>
        <v>0</v>
      </c>
      <c r="G428" s="3">
        <f t="shared" si="13"/>
        <v>0.5</v>
      </c>
    </row>
    <row r="429" spans="1:7" x14ac:dyDescent="0.25">
      <c r="A429" s="3">
        <v>13766968</v>
      </c>
      <c r="B429" s="3">
        <v>0.33400000000000002</v>
      </c>
      <c r="C429" s="3">
        <v>18</v>
      </c>
      <c r="D429" s="3">
        <v>4.5</v>
      </c>
      <c r="E429" s="3">
        <f>+VLOOKUP(A429,'[1]Reporte Canjes Meals'!$A:$K,10,0)</f>
        <v>4</v>
      </c>
      <c r="F429" s="3">
        <f t="shared" si="12"/>
        <v>1</v>
      </c>
      <c r="G429" s="3">
        <f t="shared" si="13"/>
        <v>3.5</v>
      </c>
    </row>
    <row r="430" spans="1:7" x14ac:dyDescent="0.25">
      <c r="A430" s="3">
        <v>13767063</v>
      </c>
      <c r="B430" s="3">
        <v>7.3999999999999996E-2</v>
      </c>
      <c r="C430" s="3">
        <v>4</v>
      </c>
      <c r="D430" s="3">
        <v>1</v>
      </c>
      <c r="E430" s="3">
        <f>+VLOOKUP(A430,'[1]Reporte Canjes Meals'!$A:$K,10,0)</f>
        <v>0</v>
      </c>
      <c r="F430" s="3">
        <f t="shared" si="12"/>
        <v>0</v>
      </c>
      <c r="G430" s="3">
        <f t="shared" si="13"/>
        <v>1</v>
      </c>
    </row>
    <row r="431" spans="1:7" x14ac:dyDescent="0.25">
      <c r="A431" s="3">
        <v>13769674</v>
      </c>
      <c r="B431" s="3">
        <v>7.4999999999999997E-2</v>
      </c>
      <c r="C431" s="3">
        <v>4</v>
      </c>
      <c r="D431" s="3">
        <v>1</v>
      </c>
      <c r="E431" s="3">
        <f>+VLOOKUP(A431,'[1]Reporte Canjes Meals'!$A:$K,10,0)</f>
        <v>3</v>
      </c>
      <c r="F431" s="3">
        <f t="shared" si="12"/>
        <v>0.75</v>
      </c>
      <c r="G431" s="3">
        <f t="shared" si="13"/>
        <v>0.25</v>
      </c>
    </row>
    <row r="432" spans="1:7" x14ac:dyDescent="0.25">
      <c r="A432" s="3">
        <v>13770376</v>
      </c>
      <c r="B432" s="3">
        <v>1.9E-2</v>
      </c>
      <c r="C432" s="3">
        <v>1</v>
      </c>
      <c r="D432" s="3">
        <v>0.25</v>
      </c>
      <c r="E432" s="3">
        <f>+VLOOKUP(A432,'[1]Reporte Canjes Meals'!$A:$K,10,0)</f>
        <v>1</v>
      </c>
      <c r="F432" s="3">
        <f t="shared" si="12"/>
        <v>0.25</v>
      </c>
      <c r="G432" s="3">
        <f t="shared" si="13"/>
        <v>0</v>
      </c>
    </row>
    <row r="433" spans="1:7" x14ac:dyDescent="0.25">
      <c r="A433" s="3">
        <v>13778606</v>
      </c>
      <c r="B433" s="3">
        <v>7.3999999999999996E-2</v>
      </c>
      <c r="C433" s="3">
        <v>4</v>
      </c>
      <c r="D433" s="3">
        <v>1</v>
      </c>
      <c r="E433" s="3">
        <f>+VLOOKUP(A433,'[1]Reporte Canjes Meals'!$A:$K,10,0)</f>
        <v>4</v>
      </c>
      <c r="F433" s="3">
        <f t="shared" si="12"/>
        <v>1</v>
      </c>
      <c r="G433" s="3">
        <f t="shared" si="13"/>
        <v>0</v>
      </c>
    </row>
    <row r="434" spans="1:7" x14ac:dyDescent="0.25">
      <c r="A434" s="3">
        <v>13780017</v>
      </c>
      <c r="B434" s="3">
        <v>0.20399999999999999</v>
      </c>
      <c r="C434" s="3">
        <v>11</v>
      </c>
      <c r="D434" s="3">
        <v>2.75</v>
      </c>
      <c r="E434" s="3">
        <f>+VLOOKUP(A434,'[1]Reporte Canjes Meals'!$A:$K,10,0)</f>
        <v>0</v>
      </c>
      <c r="F434" s="3">
        <f t="shared" si="12"/>
        <v>0</v>
      </c>
      <c r="G434" s="3">
        <f t="shared" si="13"/>
        <v>2.75</v>
      </c>
    </row>
    <row r="435" spans="1:7" x14ac:dyDescent="0.25">
      <c r="A435" s="3">
        <v>13782258</v>
      </c>
      <c r="B435" s="3">
        <v>0.14799999999999999</v>
      </c>
      <c r="C435" s="3">
        <v>8</v>
      </c>
      <c r="D435" s="3">
        <v>2</v>
      </c>
      <c r="E435" s="3">
        <f>+VLOOKUP(A435,'[1]Reporte Canjes Meals'!$A:$K,10,0)</f>
        <v>4</v>
      </c>
      <c r="F435" s="3">
        <f t="shared" si="12"/>
        <v>1</v>
      </c>
      <c r="G435" s="3">
        <f t="shared" si="13"/>
        <v>1</v>
      </c>
    </row>
    <row r="436" spans="1:7" x14ac:dyDescent="0.25">
      <c r="A436" s="3">
        <v>13782592</v>
      </c>
      <c r="B436" s="3">
        <v>7.3999999999999996E-2</v>
      </c>
      <c r="C436" s="3">
        <v>4</v>
      </c>
      <c r="D436" s="3">
        <v>1</v>
      </c>
      <c r="E436" s="3">
        <f>+VLOOKUP(A436,'[1]Reporte Canjes Meals'!$A:$K,10,0)</f>
        <v>4</v>
      </c>
      <c r="F436" s="3">
        <f t="shared" si="12"/>
        <v>1</v>
      </c>
      <c r="G436" s="3">
        <f t="shared" si="13"/>
        <v>0</v>
      </c>
    </row>
    <row r="437" spans="1:7" x14ac:dyDescent="0.25">
      <c r="A437" s="3">
        <v>13787290</v>
      </c>
      <c r="B437" s="3">
        <v>0.223</v>
      </c>
      <c r="C437" s="3">
        <v>12</v>
      </c>
      <c r="D437" s="3">
        <v>3</v>
      </c>
      <c r="E437" s="3">
        <f>+VLOOKUP(A437,'[1]Reporte Canjes Meals'!$A:$K,10,0)</f>
        <v>0</v>
      </c>
      <c r="F437" s="3">
        <f t="shared" si="12"/>
        <v>0</v>
      </c>
      <c r="G437" s="3">
        <f t="shared" si="13"/>
        <v>3</v>
      </c>
    </row>
    <row r="438" spans="1:7" x14ac:dyDescent="0.25">
      <c r="A438" s="3">
        <v>13789773</v>
      </c>
      <c r="B438" s="3">
        <v>0.16700000000000001</v>
      </c>
      <c r="C438" s="3">
        <v>9</v>
      </c>
      <c r="D438" s="3">
        <v>2.25</v>
      </c>
      <c r="E438" s="3">
        <f>+VLOOKUP(A438,'[1]Reporte Canjes Meals'!$A:$K,10,0)</f>
        <v>7</v>
      </c>
      <c r="F438" s="3">
        <f t="shared" si="12"/>
        <v>1.75</v>
      </c>
      <c r="G438" s="3">
        <f t="shared" si="13"/>
        <v>0.5</v>
      </c>
    </row>
    <row r="439" spans="1:7" x14ac:dyDescent="0.25">
      <c r="A439" s="3">
        <v>13791763</v>
      </c>
      <c r="B439" s="3">
        <v>7.3999999999999996E-2</v>
      </c>
      <c r="C439" s="3">
        <v>4</v>
      </c>
      <c r="D439" s="3">
        <v>1</v>
      </c>
      <c r="E439" s="3">
        <f>+VLOOKUP(A439,'[1]Reporte Canjes Meals'!$A:$K,10,0)</f>
        <v>4</v>
      </c>
      <c r="F439" s="3">
        <f t="shared" si="12"/>
        <v>1</v>
      </c>
      <c r="G439" s="3">
        <f t="shared" si="13"/>
        <v>0</v>
      </c>
    </row>
    <row r="440" spans="1:7" x14ac:dyDescent="0.25">
      <c r="A440" s="3">
        <v>13796965</v>
      </c>
      <c r="B440" s="3">
        <v>5.6000000000000001E-2</v>
      </c>
      <c r="C440" s="3">
        <v>3</v>
      </c>
      <c r="D440" s="3">
        <v>0.75</v>
      </c>
      <c r="E440" s="3">
        <f>+VLOOKUP(A440,'[1]Reporte Canjes Meals'!$A:$K,10,0)</f>
        <v>7</v>
      </c>
      <c r="F440" s="3">
        <f t="shared" si="12"/>
        <v>1.75</v>
      </c>
      <c r="G440" s="3">
        <f t="shared" si="13"/>
        <v>-1</v>
      </c>
    </row>
    <row r="441" spans="1:7" x14ac:dyDescent="0.25">
      <c r="A441" s="3">
        <v>13798875</v>
      </c>
      <c r="B441" s="3">
        <v>1.0980000000000001</v>
      </c>
      <c r="C441" s="3">
        <v>59</v>
      </c>
      <c r="D441" s="3">
        <v>14.75</v>
      </c>
      <c r="E441" s="3">
        <f>+VLOOKUP(A441,'[1]Reporte Canjes Meals'!$A:$K,10,0)</f>
        <v>38</v>
      </c>
      <c r="F441" s="3">
        <f t="shared" si="12"/>
        <v>9.5</v>
      </c>
      <c r="G441" s="3">
        <f t="shared" si="13"/>
        <v>5.25</v>
      </c>
    </row>
    <row r="442" spans="1:7" x14ac:dyDescent="0.25">
      <c r="A442" s="3">
        <v>13798899</v>
      </c>
      <c r="B442" s="3">
        <v>0.29799999999999999</v>
      </c>
      <c r="C442" s="3">
        <v>16</v>
      </c>
      <c r="D442" s="3">
        <v>4</v>
      </c>
      <c r="E442" s="3">
        <f>+VLOOKUP(A442,'[1]Reporte Canjes Meals'!$A:$K,10,0)</f>
        <v>0</v>
      </c>
      <c r="F442" s="3">
        <f t="shared" si="12"/>
        <v>0</v>
      </c>
      <c r="G442" s="3">
        <f t="shared" si="13"/>
        <v>4</v>
      </c>
    </row>
    <row r="443" spans="1:7" x14ac:dyDescent="0.25">
      <c r="A443" s="3">
        <v>13800054</v>
      </c>
      <c r="B443" s="3">
        <v>0.20499999999999999</v>
      </c>
      <c r="C443" s="3">
        <v>11</v>
      </c>
      <c r="D443" s="3">
        <v>2.75</v>
      </c>
      <c r="E443" s="3">
        <f>+VLOOKUP(A443,'[1]Reporte Canjes Meals'!$A:$K,10,0)</f>
        <v>11</v>
      </c>
      <c r="F443" s="3">
        <f t="shared" si="12"/>
        <v>2.75</v>
      </c>
      <c r="G443" s="3">
        <f t="shared" si="13"/>
        <v>0</v>
      </c>
    </row>
    <row r="444" spans="1:7" x14ac:dyDescent="0.25">
      <c r="A444" s="3">
        <v>13815897</v>
      </c>
      <c r="B444" s="3">
        <v>0.55800000000000005</v>
      </c>
      <c r="C444" s="3">
        <v>30</v>
      </c>
      <c r="D444" s="3">
        <v>7.5</v>
      </c>
      <c r="E444" s="3">
        <f>+VLOOKUP(A444,'[1]Reporte Canjes Meals'!$A:$K,10,0)</f>
        <v>0</v>
      </c>
      <c r="F444" s="3">
        <f t="shared" si="12"/>
        <v>0</v>
      </c>
      <c r="G444" s="3">
        <f t="shared" si="13"/>
        <v>7.5</v>
      </c>
    </row>
    <row r="445" spans="1:7" x14ac:dyDescent="0.25">
      <c r="A445" s="3">
        <v>13822385</v>
      </c>
      <c r="B445" s="3">
        <v>0.33500000000000002</v>
      </c>
      <c r="C445" s="3">
        <v>18</v>
      </c>
      <c r="D445" s="3">
        <v>4.5</v>
      </c>
      <c r="E445" s="3">
        <f>+VLOOKUP(A445,'[1]Reporte Canjes Meals'!$A:$K,10,0)</f>
        <v>3</v>
      </c>
      <c r="F445" s="3">
        <f t="shared" si="12"/>
        <v>0.75</v>
      </c>
      <c r="G445" s="3">
        <f t="shared" si="13"/>
        <v>3.75</v>
      </c>
    </row>
    <row r="446" spans="1:7" x14ac:dyDescent="0.25">
      <c r="A446" s="3">
        <v>13822675</v>
      </c>
      <c r="B446" s="3">
        <v>0.111</v>
      </c>
      <c r="C446" s="3">
        <v>6</v>
      </c>
      <c r="D446" s="3">
        <v>1.5</v>
      </c>
      <c r="E446" s="3">
        <f>+VLOOKUP(A446,'[1]Reporte Canjes Meals'!$A:$K,10,0)</f>
        <v>0</v>
      </c>
      <c r="F446" s="3">
        <f t="shared" si="12"/>
        <v>0</v>
      </c>
      <c r="G446" s="3">
        <f t="shared" si="13"/>
        <v>1.5</v>
      </c>
    </row>
    <row r="447" spans="1:7" x14ac:dyDescent="0.25">
      <c r="A447" s="3">
        <v>13828859</v>
      </c>
      <c r="B447" s="3">
        <v>7.4999999999999997E-2</v>
      </c>
      <c r="C447" s="3">
        <v>4</v>
      </c>
      <c r="D447" s="3">
        <v>1</v>
      </c>
      <c r="E447" s="3">
        <f>+VLOOKUP(A447,'[1]Reporte Canjes Meals'!$A:$K,10,0)</f>
        <v>4</v>
      </c>
      <c r="F447" s="3">
        <f t="shared" si="12"/>
        <v>1</v>
      </c>
      <c r="G447" s="3">
        <f t="shared" si="13"/>
        <v>0</v>
      </c>
    </row>
    <row r="448" spans="1:7" x14ac:dyDescent="0.25">
      <c r="A448" s="3">
        <v>13829976</v>
      </c>
      <c r="B448" s="3">
        <v>0.33500000000000002</v>
      </c>
      <c r="C448" s="3">
        <v>18</v>
      </c>
      <c r="D448" s="3">
        <v>4.5</v>
      </c>
      <c r="E448" s="3">
        <f>+VLOOKUP(A448,'[1]Reporte Canjes Meals'!$A:$K,10,0)</f>
        <v>18</v>
      </c>
      <c r="F448" s="3">
        <f t="shared" si="12"/>
        <v>4.5</v>
      </c>
      <c r="G448" s="3">
        <f t="shared" si="13"/>
        <v>0</v>
      </c>
    </row>
    <row r="449" spans="1:7" x14ac:dyDescent="0.25">
      <c r="A449" s="3">
        <v>13834805</v>
      </c>
      <c r="B449" s="3">
        <v>0.186</v>
      </c>
      <c r="C449" s="3">
        <v>10</v>
      </c>
      <c r="D449" s="3">
        <v>2.5</v>
      </c>
      <c r="E449" s="3">
        <f>+VLOOKUP(A449,'[1]Reporte Canjes Meals'!$A:$K,10,0)</f>
        <v>10</v>
      </c>
      <c r="F449" s="3">
        <f t="shared" si="12"/>
        <v>2.5</v>
      </c>
      <c r="G449" s="3">
        <f t="shared" si="13"/>
        <v>0</v>
      </c>
    </row>
    <row r="450" spans="1:7" x14ac:dyDescent="0.25">
      <c r="A450" s="3">
        <v>13835384</v>
      </c>
      <c r="B450" s="3">
        <v>7.3999999999999996E-2</v>
      </c>
      <c r="C450" s="3">
        <v>4</v>
      </c>
      <c r="D450" s="3">
        <v>1</v>
      </c>
      <c r="E450" s="3">
        <f>+VLOOKUP(A450,'[1]Reporte Canjes Meals'!$A:$K,10,0)</f>
        <v>2</v>
      </c>
      <c r="F450" s="3">
        <f t="shared" si="12"/>
        <v>0.5</v>
      </c>
      <c r="G450" s="3">
        <f t="shared" si="13"/>
        <v>0.5</v>
      </c>
    </row>
    <row r="451" spans="1:7" x14ac:dyDescent="0.25">
      <c r="A451" s="3">
        <v>13835594</v>
      </c>
      <c r="B451" s="3">
        <v>0.223</v>
      </c>
      <c r="C451" s="3">
        <v>12</v>
      </c>
      <c r="D451" s="3">
        <v>3</v>
      </c>
      <c r="E451" s="3">
        <f>+VLOOKUP(A451,'[1]Reporte Canjes Meals'!$A:$K,10,0)</f>
        <v>12</v>
      </c>
      <c r="F451" s="3">
        <f t="shared" ref="F451:F514" si="14">+E451/4</f>
        <v>3</v>
      </c>
      <c r="G451" s="3">
        <f t="shared" ref="G451:G514" si="15">+D451-F451</f>
        <v>0</v>
      </c>
    </row>
    <row r="452" spans="1:7" x14ac:dyDescent="0.25">
      <c r="A452" s="3">
        <v>13849372</v>
      </c>
      <c r="B452" s="3">
        <v>0.14899999999999999</v>
      </c>
      <c r="C452" s="3">
        <v>8</v>
      </c>
      <c r="D452" s="3">
        <v>2</v>
      </c>
      <c r="E452" s="3">
        <f>+VLOOKUP(A452,'[1]Reporte Canjes Meals'!$A:$K,10,0)</f>
        <v>0</v>
      </c>
      <c r="F452" s="3">
        <f t="shared" si="14"/>
        <v>0</v>
      </c>
      <c r="G452" s="3">
        <f t="shared" si="15"/>
        <v>2</v>
      </c>
    </row>
    <row r="453" spans="1:7" x14ac:dyDescent="0.25">
      <c r="A453" s="3">
        <v>13849419</v>
      </c>
      <c r="B453" s="3">
        <v>7.3999999999999996E-2</v>
      </c>
      <c r="C453" s="3">
        <v>4</v>
      </c>
      <c r="D453" s="3">
        <v>1</v>
      </c>
      <c r="E453" s="3">
        <f>+VLOOKUP(A453,'[1]Reporte Canjes Meals'!$A:$K,10,0)</f>
        <v>2</v>
      </c>
      <c r="F453" s="3">
        <f t="shared" si="14"/>
        <v>0.5</v>
      </c>
      <c r="G453" s="3">
        <f t="shared" si="15"/>
        <v>0.5</v>
      </c>
    </row>
    <row r="454" spans="1:7" x14ac:dyDescent="0.25">
      <c r="A454" s="3">
        <v>13849696</v>
      </c>
      <c r="B454" s="3">
        <v>0.187</v>
      </c>
      <c r="C454" s="3">
        <v>10</v>
      </c>
      <c r="D454" s="3">
        <v>2.5</v>
      </c>
      <c r="E454" s="3">
        <f>+VLOOKUP(A454,'[1]Reporte Canjes Meals'!$A:$K,10,0)</f>
        <v>0</v>
      </c>
      <c r="F454" s="3">
        <f t="shared" si="14"/>
        <v>0</v>
      </c>
      <c r="G454" s="3">
        <f t="shared" si="15"/>
        <v>2.5</v>
      </c>
    </row>
    <row r="455" spans="1:7" x14ac:dyDescent="0.25">
      <c r="A455" s="3">
        <v>13852026</v>
      </c>
      <c r="B455" s="3">
        <v>7.3999999999999996E-2</v>
      </c>
      <c r="C455" s="3">
        <v>4</v>
      </c>
      <c r="D455" s="3">
        <v>1</v>
      </c>
      <c r="E455" s="3">
        <f>+VLOOKUP(A455,'[1]Reporte Canjes Meals'!$A:$K,10,0)</f>
        <v>0</v>
      </c>
      <c r="F455" s="3">
        <f t="shared" si="14"/>
        <v>0</v>
      </c>
      <c r="G455" s="3">
        <f t="shared" si="15"/>
        <v>1</v>
      </c>
    </row>
    <row r="456" spans="1:7" x14ac:dyDescent="0.25">
      <c r="A456" s="3">
        <v>13859769</v>
      </c>
      <c r="B456" s="3">
        <v>0.24099999999999999</v>
      </c>
      <c r="C456" s="3">
        <v>13</v>
      </c>
      <c r="D456" s="3">
        <v>3.25</v>
      </c>
      <c r="E456" s="3">
        <f>+VLOOKUP(A456,'[1]Reporte Canjes Meals'!$A:$K,10,0)</f>
        <v>9</v>
      </c>
      <c r="F456" s="3">
        <f t="shared" si="14"/>
        <v>2.25</v>
      </c>
      <c r="G456" s="3">
        <f t="shared" si="15"/>
        <v>1</v>
      </c>
    </row>
    <row r="457" spans="1:7" x14ac:dyDescent="0.25">
      <c r="A457" s="3">
        <v>13862377</v>
      </c>
      <c r="B457" s="3">
        <v>0.44600000000000001</v>
      </c>
      <c r="C457" s="3">
        <v>24</v>
      </c>
      <c r="D457" s="3">
        <v>6</v>
      </c>
      <c r="E457" s="3">
        <f>+VLOOKUP(A457,'[1]Reporte Canjes Meals'!$A:$K,10,0)</f>
        <v>24</v>
      </c>
      <c r="F457" s="3">
        <f t="shared" si="14"/>
        <v>6</v>
      </c>
      <c r="G457" s="3">
        <f t="shared" si="15"/>
        <v>0</v>
      </c>
    </row>
    <row r="458" spans="1:7" x14ac:dyDescent="0.25">
      <c r="A458" s="3">
        <v>13862652</v>
      </c>
      <c r="B458" s="3">
        <v>1.9E-2</v>
      </c>
      <c r="C458" s="3">
        <v>1</v>
      </c>
      <c r="D458" s="3">
        <v>0.25</v>
      </c>
      <c r="E458" s="3">
        <f>+VLOOKUP(A458,'[1]Reporte Canjes Meals'!$A:$K,10,0)</f>
        <v>0</v>
      </c>
      <c r="F458" s="3">
        <f t="shared" si="14"/>
        <v>0</v>
      </c>
      <c r="G458" s="3">
        <f t="shared" si="15"/>
        <v>0.25</v>
      </c>
    </row>
    <row r="459" spans="1:7" x14ac:dyDescent="0.25">
      <c r="A459" s="3">
        <v>13864424</v>
      </c>
      <c r="B459" s="3">
        <v>7.3999999999999996E-2</v>
      </c>
      <c r="C459" s="3">
        <v>4</v>
      </c>
      <c r="D459" s="3">
        <v>1</v>
      </c>
      <c r="E459" s="3">
        <f>+VLOOKUP(A459,'[1]Reporte Canjes Meals'!$A:$K,10,0)</f>
        <v>0</v>
      </c>
      <c r="F459" s="3">
        <f t="shared" si="14"/>
        <v>0</v>
      </c>
      <c r="G459" s="3">
        <f t="shared" si="15"/>
        <v>1</v>
      </c>
    </row>
    <row r="460" spans="1:7" x14ac:dyDescent="0.25">
      <c r="A460" s="3">
        <v>13864676</v>
      </c>
      <c r="B460" s="3">
        <v>1.9E-2</v>
      </c>
      <c r="C460" s="3">
        <v>1</v>
      </c>
      <c r="D460" s="3">
        <v>0.25</v>
      </c>
      <c r="E460" s="3">
        <f>+VLOOKUP(A460,'[1]Reporte Canjes Meals'!$A:$K,10,0)</f>
        <v>1</v>
      </c>
      <c r="F460" s="3">
        <f t="shared" si="14"/>
        <v>0.25</v>
      </c>
      <c r="G460" s="3">
        <f t="shared" si="15"/>
        <v>0</v>
      </c>
    </row>
    <row r="461" spans="1:7" x14ac:dyDescent="0.25">
      <c r="A461" s="3">
        <v>13865546</v>
      </c>
      <c r="B461" s="3">
        <v>0.223</v>
      </c>
      <c r="C461" s="3">
        <v>12</v>
      </c>
      <c r="D461" s="3">
        <v>3</v>
      </c>
      <c r="E461" s="3">
        <f>+VLOOKUP(A461,'[1]Reporte Canjes Meals'!$A:$K,10,0)</f>
        <v>12</v>
      </c>
      <c r="F461" s="3">
        <f t="shared" si="14"/>
        <v>3</v>
      </c>
      <c r="G461" s="3">
        <f t="shared" si="15"/>
        <v>0</v>
      </c>
    </row>
    <row r="462" spans="1:7" x14ac:dyDescent="0.25">
      <c r="A462" s="3">
        <v>13865782</v>
      </c>
      <c r="B462" s="3">
        <v>1.375</v>
      </c>
      <c r="C462" s="3">
        <v>74</v>
      </c>
      <c r="D462" s="3">
        <v>18.5</v>
      </c>
      <c r="E462" s="3">
        <f>+VLOOKUP(A462,'[1]Reporte Canjes Meals'!$A:$K,10,0)</f>
        <v>59</v>
      </c>
      <c r="F462" s="3">
        <f t="shared" si="14"/>
        <v>14.75</v>
      </c>
      <c r="G462" s="3">
        <f t="shared" si="15"/>
        <v>3.75</v>
      </c>
    </row>
    <row r="463" spans="1:7" x14ac:dyDescent="0.25">
      <c r="A463" s="3">
        <v>13867697</v>
      </c>
      <c r="B463" s="3">
        <v>7.3999999999999996E-2</v>
      </c>
      <c r="C463" s="3">
        <v>4</v>
      </c>
      <c r="D463" s="3">
        <v>1</v>
      </c>
      <c r="E463" s="3">
        <f>+VLOOKUP(A463,'[1]Reporte Canjes Meals'!$A:$K,10,0)</f>
        <v>4</v>
      </c>
      <c r="F463" s="3">
        <f t="shared" si="14"/>
        <v>1</v>
      </c>
      <c r="G463" s="3">
        <f t="shared" si="15"/>
        <v>0</v>
      </c>
    </row>
    <row r="464" spans="1:7" x14ac:dyDescent="0.25">
      <c r="A464" s="3">
        <v>13877634</v>
      </c>
      <c r="B464" s="3">
        <v>0.89200000000000002</v>
      </c>
      <c r="C464" s="3">
        <v>48</v>
      </c>
      <c r="D464" s="3">
        <v>12</v>
      </c>
      <c r="E464" s="3">
        <f>+VLOOKUP(A464,'[1]Reporte Canjes Meals'!$A:$K,10,0)</f>
        <v>33</v>
      </c>
      <c r="F464" s="3">
        <f t="shared" si="14"/>
        <v>8.25</v>
      </c>
      <c r="G464" s="3">
        <f t="shared" si="15"/>
        <v>3.75</v>
      </c>
    </row>
    <row r="465" spans="1:7" x14ac:dyDescent="0.25">
      <c r="A465" s="3">
        <v>13880123</v>
      </c>
      <c r="B465" s="3">
        <v>0.20399999999999999</v>
      </c>
      <c r="C465" s="3">
        <v>11</v>
      </c>
      <c r="D465" s="3">
        <v>2.75</v>
      </c>
      <c r="E465" s="3">
        <f>+VLOOKUP(A465,'[1]Reporte Canjes Meals'!$A:$K,10,0)</f>
        <v>0</v>
      </c>
      <c r="F465" s="3">
        <f t="shared" si="14"/>
        <v>0</v>
      </c>
      <c r="G465" s="3">
        <f t="shared" si="15"/>
        <v>2.75</v>
      </c>
    </row>
    <row r="466" spans="1:7" x14ac:dyDescent="0.25">
      <c r="A466" s="3">
        <v>13880712</v>
      </c>
      <c r="B466" s="3">
        <v>0.14899999999999999</v>
      </c>
      <c r="C466" s="3">
        <v>8</v>
      </c>
      <c r="D466" s="3">
        <v>2</v>
      </c>
      <c r="E466" s="3">
        <f>+VLOOKUP(A466,'[1]Reporte Canjes Meals'!$A:$K,10,0)</f>
        <v>0</v>
      </c>
      <c r="F466" s="3">
        <f t="shared" si="14"/>
        <v>0</v>
      </c>
      <c r="G466" s="3">
        <f t="shared" si="15"/>
        <v>2</v>
      </c>
    </row>
    <row r="467" spans="1:7" x14ac:dyDescent="0.25">
      <c r="A467" s="3">
        <v>13880746</v>
      </c>
      <c r="B467" s="3">
        <v>0.14899999999999999</v>
      </c>
      <c r="C467" s="3">
        <v>8</v>
      </c>
      <c r="D467" s="3">
        <v>2</v>
      </c>
      <c r="E467" s="3">
        <f>+VLOOKUP(A467,'[1]Reporte Canjes Meals'!$A:$K,10,0)</f>
        <v>0</v>
      </c>
      <c r="F467" s="3">
        <f t="shared" si="14"/>
        <v>0</v>
      </c>
      <c r="G467" s="3">
        <f t="shared" si="15"/>
        <v>2</v>
      </c>
    </row>
    <row r="468" spans="1:7" x14ac:dyDescent="0.25">
      <c r="A468" s="3">
        <v>13884605</v>
      </c>
      <c r="B468" s="3">
        <v>3.6999999999999998E-2</v>
      </c>
      <c r="C468" s="3">
        <v>2</v>
      </c>
      <c r="D468" s="3">
        <v>0.5</v>
      </c>
      <c r="E468" s="3">
        <f>+VLOOKUP(A468,'[1]Reporte Canjes Meals'!$A:$K,10,0)</f>
        <v>0</v>
      </c>
      <c r="F468" s="3">
        <f t="shared" si="14"/>
        <v>0</v>
      </c>
      <c r="G468" s="3">
        <f t="shared" si="15"/>
        <v>0.5</v>
      </c>
    </row>
    <row r="469" spans="1:7" x14ac:dyDescent="0.25">
      <c r="A469" s="3">
        <v>13886975</v>
      </c>
      <c r="B469" s="3">
        <v>0.316</v>
      </c>
      <c r="C469" s="3">
        <v>17</v>
      </c>
      <c r="D469" s="3">
        <v>4.25</v>
      </c>
      <c r="E469" s="3">
        <f>+VLOOKUP(A469,'[1]Reporte Canjes Meals'!$A:$K,10,0)</f>
        <v>8</v>
      </c>
      <c r="F469" s="3">
        <f t="shared" si="14"/>
        <v>2</v>
      </c>
      <c r="G469" s="3">
        <f t="shared" si="15"/>
        <v>2.25</v>
      </c>
    </row>
    <row r="470" spans="1:7" x14ac:dyDescent="0.25">
      <c r="A470" s="3">
        <v>13887128</v>
      </c>
      <c r="B470" s="3">
        <v>0.42799999999999999</v>
      </c>
      <c r="C470" s="3">
        <v>23</v>
      </c>
      <c r="D470" s="3">
        <v>5.75</v>
      </c>
      <c r="E470" s="3">
        <f>+VLOOKUP(A470,'[1]Reporte Canjes Meals'!$A:$K,10,0)</f>
        <v>21</v>
      </c>
      <c r="F470" s="3">
        <f t="shared" si="14"/>
        <v>5.25</v>
      </c>
      <c r="G470" s="3">
        <f t="shared" si="15"/>
        <v>0.5</v>
      </c>
    </row>
    <row r="471" spans="1:7" x14ac:dyDescent="0.25">
      <c r="A471" s="3">
        <v>13888859</v>
      </c>
      <c r="B471" s="3">
        <v>0.20399999999999999</v>
      </c>
      <c r="C471" s="3">
        <v>11</v>
      </c>
      <c r="D471" s="3">
        <v>2.75</v>
      </c>
      <c r="E471" s="3">
        <f>+VLOOKUP(A471,'[1]Reporte Canjes Meals'!$A:$K,10,0)</f>
        <v>11</v>
      </c>
      <c r="F471" s="3">
        <f t="shared" si="14"/>
        <v>2.75</v>
      </c>
      <c r="G471" s="3">
        <f t="shared" si="15"/>
        <v>0</v>
      </c>
    </row>
    <row r="472" spans="1:7" x14ac:dyDescent="0.25">
      <c r="A472" s="3">
        <v>13918294</v>
      </c>
      <c r="B472" s="3">
        <v>3.6999999999999998E-2</v>
      </c>
      <c r="C472" s="3">
        <v>2</v>
      </c>
      <c r="D472" s="3">
        <v>0.5</v>
      </c>
      <c r="E472" s="3">
        <f>+VLOOKUP(A472,'[1]Reporte Canjes Meals'!$A:$K,10,0)</f>
        <v>2</v>
      </c>
      <c r="F472" s="3">
        <f t="shared" si="14"/>
        <v>0.5</v>
      </c>
      <c r="G472" s="3">
        <f t="shared" si="15"/>
        <v>0</v>
      </c>
    </row>
    <row r="473" spans="1:7" x14ac:dyDescent="0.25">
      <c r="A473" s="3">
        <v>13921386</v>
      </c>
      <c r="B473" s="3">
        <v>0.186</v>
      </c>
      <c r="C473" s="3">
        <v>10</v>
      </c>
      <c r="D473" s="3">
        <v>2.5</v>
      </c>
      <c r="E473" s="3">
        <f>+VLOOKUP(A473,'[1]Reporte Canjes Meals'!$A:$K,10,0)</f>
        <v>10</v>
      </c>
      <c r="F473" s="3">
        <f t="shared" si="14"/>
        <v>2.5</v>
      </c>
      <c r="G473" s="3">
        <f t="shared" si="15"/>
        <v>0</v>
      </c>
    </row>
    <row r="474" spans="1:7" x14ac:dyDescent="0.25">
      <c r="A474" s="3">
        <v>13930798</v>
      </c>
      <c r="B474" s="3">
        <v>7.3999999999999996E-2</v>
      </c>
      <c r="C474" s="3">
        <v>4</v>
      </c>
      <c r="D474" s="3">
        <v>1</v>
      </c>
      <c r="E474" s="3">
        <f>+VLOOKUP(A474,'[1]Reporte Canjes Meals'!$A:$K,10,0)</f>
        <v>4</v>
      </c>
      <c r="F474" s="3">
        <f t="shared" si="14"/>
        <v>1</v>
      </c>
      <c r="G474" s="3">
        <f t="shared" si="15"/>
        <v>0</v>
      </c>
    </row>
    <row r="475" spans="1:7" x14ac:dyDescent="0.25">
      <c r="A475" s="3">
        <v>13932222</v>
      </c>
      <c r="B475" s="3">
        <v>0.186</v>
      </c>
      <c r="C475" s="3">
        <v>10</v>
      </c>
      <c r="D475" s="3">
        <v>2.5</v>
      </c>
      <c r="E475" s="3">
        <f>+VLOOKUP(A475,'[1]Reporte Canjes Meals'!$A:$K,10,0)</f>
        <v>5</v>
      </c>
      <c r="F475" s="3">
        <f t="shared" si="14"/>
        <v>1.25</v>
      </c>
      <c r="G475" s="3">
        <f t="shared" si="15"/>
        <v>1.25</v>
      </c>
    </row>
    <row r="476" spans="1:7" x14ac:dyDescent="0.25">
      <c r="A476" s="3">
        <v>13943997</v>
      </c>
      <c r="B476" s="3">
        <v>0.29799999999999999</v>
      </c>
      <c r="C476" s="3">
        <v>16</v>
      </c>
      <c r="D476" s="3">
        <v>4</v>
      </c>
      <c r="E476" s="3">
        <f>+VLOOKUP(A476,'[1]Reporte Canjes Meals'!$A:$K,10,0)</f>
        <v>0</v>
      </c>
      <c r="F476" s="3">
        <f t="shared" si="14"/>
        <v>0</v>
      </c>
      <c r="G476" s="3">
        <f t="shared" si="15"/>
        <v>4</v>
      </c>
    </row>
    <row r="477" spans="1:7" x14ac:dyDescent="0.25">
      <c r="A477" s="3">
        <v>13946656</v>
      </c>
      <c r="B477" s="3">
        <v>0.14799999999999999</v>
      </c>
      <c r="C477" s="3">
        <v>8</v>
      </c>
      <c r="D477" s="3">
        <v>2</v>
      </c>
      <c r="E477" s="3">
        <f>+VLOOKUP(A477,'[1]Reporte Canjes Meals'!$A:$K,10,0)</f>
        <v>0</v>
      </c>
      <c r="F477" s="3">
        <f t="shared" si="14"/>
        <v>0</v>
      </c>
      <c r="G477" s="3">
        <f t="shared" si="15"/>
        <v>2</v>
      </c>
    </row>
    <row r="478" spans="1:7" x14ac:dyDescent="0.25">
      <c r="A478" s="3">
        <v>13953753</v>
      </c>
      <c r="B478" s="3">
        <v>0.13</v>
      </c>
      <c r="C478" s="3">
        <v>7</v>
      </c>
      <c r="D478" s="3">
        <v>1.75</v>
      </c>
      <c r="E478" s="3">
        <f>+VLOOKUP(A478,'[1]Reporte Canjes Meals'!$A:$K,10,0)</f>
        <v>5</v>
      </c>
      <c r="F478" s="3">
        <f t="shared" si="14"/>
        <v>1.25</v>
      </c>
      <c r="G478" s="3">
        <f t="shared" si="15"/>
        <v>0.5</v>
      </c>
    </row>
    <row r="479" spans="1:7" x14ac:dyDescent="0.25">
      <c r="A479" s="3">
        <v>13957537</v>
      </c>
      <c r="B479" s="3">
        <v>0.14899999999999999</v>
      </c>
      <c r="C479" s="3">
        <v>8</v>
      </c>
      <c r="D479" s="3">
        <v>2</v>
      </c>
      <c r="E479" s="3">
        <f>+VLOOKUP(A479,'[1]Reporte Canjes Meals'!$A:$K,10,0)</f>
        <v>8</v>
      </c>
      <c r="F479" s="3">
        <f t="shared" si="14"/>
        <v>2</v>
      </c>
      <c r="G479" s="3">
        <f t="shared" si="15"/>
        <v>0</v>
      </c>
    </row>
    <row r="480" spans="1:7" x14ac:dyDescent="0.25">
      <c r="A480" s="3">
        <v>13957538</v>
      </c>
      <c r="B480" s="3">
        <v>0.502</v>
      </c>
      <c r="C480" s="3">
        <v>27</v>
      </c>
      <c r="D480" s="3">
        <v>6.75</v>
      </c>
      <c r="E480" s="3">
        <f>+VLOOKUP(A480,'[1]Reporte Canjes Meals'!$A:$K,10,0)</f>
        <v>23</v>
      </c>
      <c r="F480" s="3">
        <f t="shared" si="14"/>
        <v>5.75</v>
      </c>
      <c r="G480" s="3">
        <f t="shared" si="15"/>
        <v>1</v>
      </c>
    </row>
    <row r="481" spans="1:7" x14ac:dyDescent="0.25">
      <c r="A481" s="3">
        <v>13957754</v>
      </c>
      <c r="B481" s="3">
        <v>0.33500000000000002</v>
      </c>
      <c r="C481" s="3">
        <v>18</v>
      </c>
      <c r="D481" s="3">
        <v>4.5</v>
      </c>
      <c r="E481" s="3">
        <f>+VLOOKUP(A481,'[1]Reporte Canjes Meals'!$A:$K,10,0)</f>
        <v>0</v>
      </c>
      <c r="F481" s="3">
        <f t="shared" si="14"/>
        <v>0</v>
      </c>
      <c r="G481" s="3">
        <f t="shared" si="15"/>
        <v>4.5</v>
      </c>
    </row>
    <row r="482" spans="1:7" x14ac:dyDescent="0.25">
      <c r="A482" s="3">
        <v>13960119</v>
      </c>
      <c r="B482" s="3">
        <v>0.13100000000000001</v>
      </c>
      <c r="C482" s="3">
        <v>7</v>
      </c>
      <c r="D482" s="3">
        <v>1.75</v>
      </c>
      <c r="E482" s="3">
        <f>+VLOOKUP(A482,'[1]Reporte Canjes Meals'!$A:$K,10,0)</f>
        <v>6</v>
      </c>
      <c r="F482" s="3">
        <f t="shared" si="14"/>
        <v>1.5</v>
      </c>
      <c r="G482" s="3">
        <f t="shared" si="15"/>
        <v>0.25</v>
      </c>
    </row>
    <row r="483" spans="1:7" x14ac:dyDescent="0.25">
      <c r="A483" s="3">
        <v>13963649</v>
      </c>
      <c r="B483" s="3">
        <v>0.16700000000000001</v>
      </c>
      <c r="C483" s="3">
        <v>9</v>
      </c>
      <c r="D483" s="3">
        <v>2.25</v>
      </c>
      <c r="E483" s="3">
        <f>+VLOOKUP(A483,'[1]Reporte Canjes Meals'!$A:$K,10,0)</f>
        <v>0</v>
      </c>
      <c r="F483" s="3">
        <f t="shared" si="14"/>
        <v>0</v>
      </c>
      <c r="G483" s="3">
        <f t="shared" si="15"/>
        <v>2.25</v>
      </c>
    </row>
    <row r="484" spans="1:7" x14ac:dyDescent="0.25">
      <c r="A484" s="3">
        <v>13963950</v>
      </c>
      <c r="B484" s="3">
        <v>7.3999999999999996E-2</v>
      </c>
      <c r="C484" s="3">
        <v>4</v>
      </c>
      <c r="D484" s="3">
        <v>1</v>
      </c>
      <c r="E484" s="3">
        <f>+VLOOKUP(A484,'[1]Reporte Canjes Meals'!$A:$K,10,0)</f>
        <v>0</v>
      </c>
      <c r="F484" s="3">
        <f t="shared" si="14"/>
        <v>0</v>
      </c>
      <c r="G484" s="3">
        <f t="shared" si="15"/>
        <v>1</v>
      </c>
    </row>
    <row r="485" spans="1:7" x14ac:dyDescent="0.25">
      <c r="A485" s="3">
        <v>13964938</v>
      </c>
      <c r="B485" s="3">
        <v>1.9E-2</v>
      </c>
      <c r="C485" s="3">
        <v>1</v>
      </c>
      <c r="D485" s="3">
        <v>0.25</v>
      </c>
      <c r="E485" s="3">
        <f>+VLOOKUP(A485,'[1]Reporte Canjes Meals'!$A:$K,10,0)</f>
        <v>0</v>
      </c>
      <c r="F485" s="3">
        <f t="shared" si="14"/>
        <v>0</v>
      </c>
      <c r="G485" s="3">
        <f t="shared" si="15"/>
        <v>0.25</v>
      </c>
    </row>
    <row r="486" spans="1:7" x14ac:dyDescent="0.25">
      <c r="A486" s="3">
        <v>13966168</v>
      </c>
      <c r="B486" s="3">
        <v>0.24199999999999999</v>
      </c>
      <c r="C486" s="3">
        <v>13</v>
      </c>
      <c r="D486" s="3">
        <v>3.25</v>
      </c>
      <c r="E486" s="3">
        <f>+VLOOKUP(A486,'[1]Reporte Canjes Meals'!$A:$K,10,0)</f>
        <v>7</v>
      </c>
      <c r="F486" s="3">
        <f t="shared" si="14"/>
        <v>1.75</v>
      </c>
      <c r="G486" s="3">
        <f t="shared" si="15"/>
        <v>1.5</v>
      </c>
    </row>
    <row r="487" spans="1:7" x14ac:dyDescent="0.25">
      <c r="A487" s="3">
        <v>13966894</v>
      </c>
      <c r="B487" s="3">
        <v>0.33400000000000002</v>
      </c>
      <c r="C487" s="3">
        <v>18</v>
      </c>
      <c r="D487" s="3">
        <v>4.5</v>
      </c>
      <c r="E487" s="3">
        <f>+VLOOKUP(A487,'[1]Reporte Canjes Meals'!$A:$K,10,0)</f>
        <v>11</v>
      </c>
      <c r="F487" s="3">
        <f t="shared" si="14"/>
        <v>2.75</v>
      </c>
      <c r="G487" s="3">
        <f t="shared" si="15"/>
        <v>1.75</v>
      </c>
    </row>
    <row r="488" spans="1:7" x14ac:dyDescent="0.25">
      <c r="A488" s="3">
        <v>13970549</v>
      </c>
      <c r="B488" s="3">
        <v>0.186</v>
      </c>
      <c r="C488" s="3">
        <v>10</v>
      </c>
      <c r="D488" s="3">
        <v>2.5</v>
      </c>
      <c r="E488" s="3">
        <f>+VLOOKUP(A488,'[1]Reporte Canjes Meals'!$A:$K,10,0)</f>
        <v>10</v>
      </c>
      <c r="F488" s="3">
        <f t="shared" si="14"/>
        <v>2.5</v>
      </c>
      <c r="G488" s="3">
        <f t="shared" si="15"/>
        <v>0</v>
      </c>
    </row>
    <row r="489" spans="1:7" x14ac:dyDescent="0.25">
      <c r="A489" s="3">
        <v>13976210</v>
      </c>
      <c r="B489" s="3">
        <v>7.4999999999999997E-2</v>
      </c>
      <c r="C489" s="3">
        <v>4</v>
      </c>
      <c r="D489" s="3">
        <v>1</v>
      </c>
      <c r="E489" s="3">
        <f>+VLOOKUP(A489,'[1]Reporte Canjes Meals'!$A:$K,10,0)</f>
        <v>0</v>
      </c>
      <c r="F489" s="3">
        <f t="shared" si="14"/>
        <v>0</v>
      </c>
      <c r="G489" s="3">
        <f t="shared" si="15"/>
        <v>1</v>
      </c>
    </row>
    <row r="490" spans="1:7" x14ac:dyDescent="0.25">
      <c r="A490" s="3">
        <v>13986203</v>
      </c>
      <c r="B490" s="3">
        <v>0.111</v>
      </c>
      <c r="C490" s="3">
        <v>6</v>
      </c>
      <c r="D490" s="3">
        <v>1.5</v>
      </c>
      <c r="E490" s="3">
        <f>+VLOOKUP(A490,'[1]Reporte Canjes Meals'!$A:$K,10,0)</f>
        <v>0</v>
      </c>
      <c r="F490" s="3">
        <f t="shared" si="14"/>
        <v>0</v>
      </c>
      <c r="G490" s="3">
        <f t="shared" si="15"/>
        <v>1.5</v>
      </c>
    </row>
    <row r="491" spans="1:7" x14ac:dyDescent="0.25">
      <c r="A491" s="3">
        <v>13989504</v>
      </c>
      <c r="B491" s="3">
        <v>0.42699999999999999</v>
      </c>
      <c r="C491" s="3">
        <v>23</v>
      </c>
      <c r="D491" s="3">
        <v>5.75</v>
      </c>
      <c r="E491" s="3">
        <f>+VLOOKUP(A491,'[1]Reporte Canjes Meals'!$A:$K,10,0)</f>
        <v>23</v>
      </c>
      <c r="F491" s="3">
        <f t="shared" si="14"/>
        <v>5.75</v>
      </c>
      <c r="G491" s="3">
        <f t="shared" si="15"/>
        <v>0</v>
      </c>
    </row>
    <row r="492" spans="1:7" x14ac:dyDescent="0.25">
      <c r="A492" s="3">
        <v>13994224</v>
      </c>
      <c r="B492" s="3">
        <v>0.39100000000000001</v>
      </c>
      <c r="C492" s="3">
        <v>21</v>
      </c>
      <c r="D492" s="3">
        <v>5.25</v>
      </c>
      <c r="E492" s="3">
        <f>+VLOOKUP(A492,'[1]Reporte Canjes Meals'!$A:$K,10,0)</f>
        <v>0</v>
      </c>
      <c r="F492" s="3">
        <f t="shared" si="14"/>
        <v>0</v>
      </c>
      <c r="G492" s="3">
        <f t="shared" si="15"/>
        <v>5.25</v>
      </c>
    </row>
    <row r="493" spans="1:7" x14ac:dyDescent="0.25">
      <c r="A493" s="3">
        <v>13994844</v>
      </c>
      <c r="B493" s="3">
        <v>0.112</v>
      </c>
      <c r="C493" s="3">
        <v>6</v>
      </c>
      <c r="D493" s="3">
        <v>1.5</v>
      </c>
      <c r="E493" s="3">
        <f>+VLOOKUP(A493,'[1]Reporte Canjes Meals'!$A:$K,10,0)</f>
        <v>0</v>
      </c>
      <c r="F493" s="3">
        <f t="shared" si="14"/>
        <v>0</v>
      </c>
      <c r="G493" s="3">
        <f t="shared" si="15"/>
        <v>1.5</v>
      </c>
    </row>
    <row r="494" spans="1:7" x14ac:dyDescent="0.25">
      <c r="A494" s="3">
        <v>13995835</v>
      </c>
      <c r="B494" s="3">
        <v>1.9E-2</v>
      </c>
      <c r="C494" s="3">
        <v>1</v>
      </c>
      <c r="D494" s="3">
        <v>0.25</v>
      </c>
      <c r="E494" s="3">
        <f>+VLOOKUP(A494,'[1]Reporte Canjes Meals'!$A:$K,10,0)</f>
        <v>1</v>
      </c>
      <c r="F494" s="3">
        <f t="shared" si="14"/>
        <v>0.25</v>
      </c>
      <c r="G494" s="3">
        <f t="shared" si="15"/>
        <v>0</v>
      </c>
    </row>
    <row r="495" spans="1:7" x14ac:dyDescent="0.25">
      <c r="A495" s="3">
        <v>13995962</v>
      </c>
      <c r="B495" s="3">
        <v>1.9E-2</v>
      </c>
      <c r="C495" s="3">
        <v>1</v>
      </c>
      <c r="D495" s="3">
        <v>0.25</v>
      </c>
      <c r="E495" s="3">
        <f>+VLOOKUP(A495,'[1]Reporte Canjes Meals'!$A:$K,10,0)</f>
        <v>0</v>
      </c>
      <c r="F495" s="3">
        <f t="shared" si="14"/>
        <v>0</v>
      </c>
      <c r="G495" s="3">
        <f t="shared" si="15"/>
        <v>0.25</v>
      </c>
    </row>
    <row r="496" spans="1:7" x14ac:dyDescent="0.25">
      <c r="A496" s="3">
        <v>13996006</v>
      </c>
      <c r="B496" s="3">
        <v>7.3999999999999996E-2</v>
      </c>
      <c r="C496" s="3">
        <v>4</v>
      </c>
      <c r="D496" s="3">
        <v>1</v>
      </c>
      <c r="E496" s="3">
        <f>+VLOOKUP(A496,'[1]Reporte Canjes Meals'!$A:$K,10,0)</f>
        <v>0</v>
      </c>
      <c r="F496" s="3">
        <f t="shared" si="14"/>
        <v>0</v>
      </c>
      <c r="G496" s="3">
        <f t="shared" si="15"/>
        <v>1</v>
      </c>
    </row>
    <row r="497" spans="1:7" x14ac:dyDescent="0.25">
      <c r="A497" s="3">
        <v>13999936</v>
      </c>
      <c r="B497" s="3">
        <v>1.9E-2</v>
      </c>
      <c r="C497" s="3">
        <v>1</v>
      </c>
      <c r="D497" s="3">
        <v>0.25</v>
      </c>
      <c r="E497" s="3">
        <f>+VLOOKUP(A497,'[1]Reporte Canjes Meals'!$A:$K,10,0)</f>
        <v>0</v>
      </c>
      <c r="F497" s="3">
        <f t="shared" si="14"/>
        <v>0</v>
      </c>
      <c r="G497" s="3">
        <f t="shared" si="15"/>
        <v>0.25</v>
      </c>
    </row>
    <row r="498" spans="1:7" x14ac:dyDescent="0.25">
      <c r="A498" s="3">
        <v>14004097</v>
      </c>
      <c r="B498" s="3">
        <v>7.4999999999999997E-2</v>
      </c>
      <c r="C498" s="3">
        <v>4</v>
      </c>
      <c r="D498" s="3">
        <v>1</v>
      </c>
      <c r="E498" s="3">
        <f>+VLOOKUP(A498,'[1]Reporte Canjes Meals'!$A:$K,10,0)</f>
        <v>0</v>
      </c>
      <c r="F498" s="3">
        <f t="shared" si="14"/>
        <v>0</v>
      </c>
      <c r="G498" s="3">
        <f t="shared" si="15"/>
        <v>1</v>
      </c>
    </row>
    <row r="499" spans="1:7" x14ac:dyDescent="0.25">
      <c r="A499" s="3">
        <v>14004225</v>
      </c>
      <c r="B499" s="3">
        <v>0.372</v>
      </c>
      <c r="C499" s="3">
        <v>20</v>
      </c>
      <c r="D499" s="3">
        <v>5</v>
      </c>
      <c r="E499" s="3">
        <f>+VLOOKUP(A499,'[1]Reporte Canjes Meals'!$A:$K,10,0)</f>
        <v>0</v>
      </c>
      <c r="F499" s="3">
        <f t="shared" si="14"/>
        <v>0</v>
      </c>
      <c r="G499" s="3">
        <f t="shared" si="15"/>
        <v>5</v>
      </c>
    </row>
    <row r="500" spans="1:7" x14ac:dyDescent="0.25">
      <c r="A500" s="3">
        <v>14006037</v>
      </c>
      <c r="B500" s="3">
        <v>1.9E-2</v>
      </c>
      <c r="C500" s="3">
        <v>1</v>
      </c>
      <c r="D500" s="3">
        <v>0.25</v>
      </c>
      <c r="E500" s="3">
        <f>+VLOOKUP(A500,'[1]Reporte Canjes Meals'!$A:$K,10,0)</f>
        <v>0</v>
      </c>
      <c r="F500" s="3">
        <f t="shared" si="14"/>
        <v>0</v>
      </c>
      <c r="G500" s="3">
        <f t="shared" si="15"/>
        <v>0.25</v>
      </c>
    </row>
    <row r="501" spans="1:7" x14ac:dyDescent="0.25">
      <c r="A501" s="3">
        <v>14008611</v>
      </c>
      <c r="B501" s="3">
        <v>0.29699999999999999</v>
      </c>
      <c r="C501" s="3">
        <v>16</v>
      </c>
      <c r="D501" s="3">
        <v>4</v>
      </c>
      <c r="E501" s="3">
        <f>+VLOOKUP(A501,'[1]Reporte Canjes Meals'!$A:$K,10,0)</f>
        <v>4</v>
      </c>
      <c r="F501" s="3">
        <f t="shared" si="14"/>
        <v>1</v>
      </c>
      <c r="G501" s="3">
        <f t="shared" si="15"/>
        <v>3</v>
      </c>
    </row>
    <row r="502" spans="1:7" x14ac:dyDescent="0.25">
      <c r="A502" s="3">
        <v>14011983</v>
      </c>
      <c r="B502" s="3">
        <v>3.6999999999999998E-2</v>
      </c>
      <c r="C502" s="3">
        <v>2</v>
      </c>
      <c r="D502" s="3">
        <v>0.5</v>
      </c>
      <c r="E502" s="3">
        <f>+VLOOKUP(A502,'[1]Reporte Canjes Meals'!$A:$K,10,0)</f>
        <v>2</v>
      </c>
      <c r="F502" s="3">
        <f t="shared" si="14"/>
        <v>0.5</v>
      </c>
      <c r="G502" s="3">
        <f t="shared" si="15"/>
        <v>0</v>
      </c>
    </row>
    <row r="503" spans="1:7" x14ac:dyDescent="0.25">
      <c r="A503" s="3">
        <v>14012523</v>
      </c>
      <c r="B503" s="3">
        <v>9.2999999999999999E-2</v>
      </c>
      <c r="C503" s="3">
        <v>5</v>
      </c>
      <c r="D503" s="3">
        <v>1.25</v>
      </c>
      <c r="E503" s="3">
        <f>+VLOOKUP(A503,'[1]Reporte Canjes Meals'!$A:$K,10,0)</f>
        <v>5</v>
      </c>
      <c r="F503" s="3">
        <f t="shared" si="14"/>
        <v>1.25</v>
      </c>
      <c r="G503" s="3">
        <f t="shared" si="15"/>
        <v>0</v>
      </c>
    </row>
    <row r="504" spans="1:7" x14ac:dyDescent="0.25">
      <c r="A504" s="3">
        <v>14014153</v>
      </c>
      <c r="B504" s="3">
        <v>3.7999999999999999E-2</v>
      </c>
      <c r="C504" s="3">
        <v>2</v>
      </c>
      <c r="D504" s="3">
        <v>0.5</v>
      </c>
      <c r="E504" s="3">
        <f>+VLOOKUP(A504,'[1]Reporte Canjes Meals'!$A:$K,10,0)</f>
        <v>1</v>
      </c>
      <c r="F504" s="3">
        <f t="shared" si="14"/>
        <v>0.25</v>
      </c>
      <c r="G504" s="3">
        <f t="shared" si="15"/>
        <v>0.25</v>
      </c>
    </row>
    <row r="505" spans="1:7" x14ac:dyDescent="0.25">
      <c r="A505" s="3">
        <v>14017557</v>
      </c>
      <c r="B505" s="3">
        <v>7.3999999999999996E-2</v>
      </c>
      <c r="C505" s="3">
        <v>4</v>
      </c>
      <c r="D505" s="3">
        <v>1</v>
      </c>
      <c r="E505" s="3">
        <f>+VLOOKUP(A505,'[1]Reporte Canjes Meals'!$A:$K,10,0)</f>
        <v>4</v>
      </c>
      <c r="F505" s="3">
        <f t="shared" si="14"/>
        <v>1</v>
      </c>
      <c r="G505" s="3">
        <f t="shared" si="15"/>
        <v>0</v>
      </c>
    </row>
    <row r="506" spans="1:7" x14ac:dyDescent="0.25">
      <c r="A506" s="3">
        <v>14020045</v>
      </c>
      <c r="B506" s="3">
        <v>0.14899999999999999</v>
      </c>
      <c r="C506" s="3">
        <v>8</v>
      </c>
      <c r="D506" s="3">
        <v>2</v>
      </c>
      <c r="E506" s="3">
        <f>+VLOOKUP(A506,'[1]Reporte Canjes Meals'!$A:$K,10,0)</f>
        <v>8</v>
      </c>
      <c r="F506" s="3">
        <f t="shared" si="14"/>
        <v>2</v>
      </c>
      <c r="G506" s="3">
        <f t="shared" si="15"/>
        <v>0</v>
      </c>
    </row>
    <row r="507" spans="1:7" x14ac:dyDescent="0.25">
      <c r="A507" s="3">
        <v>14024856</v>
      </c>
      <c r="B507" s="3">
        <v>0.40899999999999997</v>
      </c>
      <c r="C507" s="3">
        <v>22</v>
      </c>
      <c r="D507" s="3">
        <v>5.5</v>
      </c>
      <c r="E507" s="3">
        <f>+VLOOKUP(A507,'[1]Reporte Canjes Meals'!$A:$K,10,0)</f>
        <v>4</v>
      </c>
      <c r="F507" s="3">
        <f t="shared" si="14"/>
        <v>1</v>
      </c>
      <c r="G507" s="3">
        <f t="shared" si="15"/>
        <v>4.5</v>
      </c>
    </row>
    <row r="508" spans="1:7" x14ac:dyDescent="0.25">
      <c r="A508" s="3">
        <v>14029068</v>
      </c>
      <c r="B508" s="3">
        <v>0.16700000000000001</v>
      </c>
      <c r="C508" s="3">
        <v>9</v>
      </c>
      <c r="D508" s="3">
        <v>2.25</v>
      </c>
      <c r="E508" s="3">
        <f>+VLOOKUP(A508,'[1]Reporte Canjes Meals'!$A:$K,10,0)</f>
        <v>0</v>
      </c>
      <c r="F508" s="3">
        <f t="shared" si="14"/>
        <v>0</v>
      </c>
      <c r="G508" s="3">
        <f t="shared" si="15"/>
        <v>2.25</v>
      </c>
    </row>
    <row r="509" spans="1:7" x14ac:dyDescent="0.25">
      <c r="A509" s="3">
        <v>14035206</v>
      </c>
      <c r="B509" s="3">
        <v>0.57599999999999996</v>
      </c>
      <c r="C509" s="3">
        <v>31</v>
      </c>
      <c r="D509" s="3">
        <v>7.75</v>
      </c>
      <c r="E509" s="3">
        <f>+VLOOKUP(A509,'[1]Reporte Canjes Meals'!$A:$K,10,0)</f>
        <v>17</v>
      </c>
      <c r="F509" s="3">
        <f t="shared" si="14"/>
        <v>4.25</v>
      </c>
      <c r="G509" s="3">
        <f t="shared" si="15"/>
        <v>3.5</v>
      </c>
    </row>
    <row r="510" spans="1:7" x14ac:dyDescent="0.25">
      <c r="A510" s="3">
        <v>14040276</v>
      </c>
      <c r="B510" s="3">
        <v>0.53900000000000003</v>
      </c>
      <c r="C510" s="3">
        <v>29</v>
      </c>
      <c r="D510" s="3">
        <v>7.25</v>
      </c>
      <c r="E510" s="3">
        <f>+VLOOKUP(A510,'[1]Reporte Canjes Meals'!$A:$K,10,0)</f>
        <v>0</v>
      </c>
      <c r="F510" s="3">
        <f t="shared" si="14"/>
        <v>0</v>
      </c>
      <c r="G510" s="3">
        <f t="shared" si="15"/>
        <v>7.25</v>
      </c>
    </row>
    <row r="511" spans="1:7" x14ac:dyDescent="0.25">
      <c r="A511" s="3">
        <v>14043998</v>
      </c>
      <c r="B511" s="3">
        <v>0.13</v>
      </c>
      <c r="C511" s="3">
        <v>7</v>
      </c>
      <c r="D511" s="3">
        <v>1.75</v>
      </c>
      <c r="E511" s="3">
        <f>+VLOOKUP(A511,'[1]Reporte Canjes Meals'!$A:$K,10,0)</f>
        <v>4</v>
      </c>
      <c r="F511" s="3">
        <f t="shared" si="14"/>
        <v>1</v>
      </c>
      <c r="G511" s="3">
        <f t="shared" si="15"/>
        <v>0.75</v>
      </c>
    </row>
    <row r="512" spans="1:7" x14ac:dyDescent="0.25">
      <c r="A512" s="3">
        <v>14048651</v>
      </c>
      <c r="B512" s="3">
        <v>7.4999999999999997E-2</v>
      </c>
      <c r="C512" s="3">
        <v>4</v>
      </c>
      <c r="D512" s="3">
        <v>1</v>
      </c>
      <c r="E512" s="3">
        <f>+VLOOKUP(A512,'[1]Reporte Canjes Meals'!$A:$K,10,0)</f>
        <v>3</v>
      </c>
      <c r="F512" s="3">
        <f t="shared" si="14"/>
        <v>0.75</v>
      </c>
      <c r="G512" s="3">
        <f t="shared" si="15"/>
        <v>0.25</v>
      </c>
    </row>
    <row r="513" spans="1:7" x14ac:dyDescent="0.25">
      <c r="A513" s="3">
        <v>14048656</v>
      </c>
      <c r="B513" s="3">
        <v>0.58099999999999996</v>
      </c>
      <c r="C513" s="3">
        <v>31</v>
      </c>
      <c r="D513" s="3">
        <v>7.75</v>
      </c>
      <c r="E513" s="3">
        <f>+VLOOKUP(A513,'[1]Reporte Canjes Meals'!$A:$K,10,0)</f>
        <v>6</v>
      </c>
      <c r="F513" s="3">
        <f t="shared" si="14"/>
        <v>1.5</v>
      </c>
      <c r="G513" s="3">
        <f t="shared" si="15"/>
        <v>6.25</v>
      </c>
    </row>
    <row r="514" spans="1:7" x14ac:dyDescent="0.25">
      <c r="A514" s="3">
        <v>14052460</v>
      </c>
      <c r="B514" s="3">
        <v>0.63300000000000001</v>
      </c>
      <c r="C514" s="3">
        <v>34</v>
      </c>
      <c r="D514" s="3">
        <v>8.5</v>
      </c>
      <c r="E514" s="3">
        <f>+VLOOKUP(A514,'[1]Reporte Canjes Meals'!$A:$K,10,0)</f>
        <v>0</v>
      </c>
      <c r="F514" s="3">
        <f t="shared" si="14"/>
        <v>0</v>
      </c>
      <c r="G514" s="3">
        <f t="shared" si="15"/>
        <v>8.5</v>
      </c>
    </row>
    <row r="515" spans="1:7" x14ac:dyDescent="0.25">
      <c r="A515" s="3">
        <v>14058513</v>
      </c>
      <c r="B515" s="3">
        <v>0.29799999999999999</v>
      </c>
      <c r="C515" s="3">
        <v>16</v>
      </c>
      <c r="D515" s="3">
        <v>4</v>
      </c>
      <c r="E515" s="3">
        <f>+VLOOKUP(A515,'[1]Reporte Canjes Meals'!$A:$K,10,0)</f>
        <v>16</v>
      </c>
      <c r="F515" s="3">
        <f t="shared" ref="F515:F578" si="16">+E515/4</f>
        <v>4</v>
      </c>
      <c r="G515" s="3">
        <f t="shared" ref="G515:G578" si="17">+D515-F515</f>
        <v>0</v>
      </c>
    </row>
    <row r="516" spans="1:7" x14ac:dyDescent="0.25">
      <c r="A516" s="3">
        <v>14061138</v>
      </c>
      <c r="B516" s="3">
        <v>0.112</v>
      </c>
      <c r="C516" s="3">
        <v>6</v>
      </c>
      <c r="D516" s="3">
        <v>1.5</v>
      </c>
      <c r="E516" s="3">
        <f>+VLOOKUP(A516,'[1]Reporte Canjes Meals'!$A:$K,10,0)</f>
        <v>6</v>
      </c>
      <c r="F516" s="3">
        <f t="shared" si="16"/>
        <v>1.5</v>
      </c>
      <c r="G516" s="3">
        <f t="shared" si="17"/>
        <v>0</v>
      </c>
    </row>
    <row r="517" spans="1:7" x14ac:dyDescent="0.25">
      <c r="A517" s="3">
        <v>14061485</v>
      </c>
      <c r="B517" s="3">
        <v>0.192</v>
      </c>
      <c r="C517" s="3">
        <v>9</v>
      </c>
      <c r="D517" s="3">
        <v>2.25</v>
      </c>
      <c r="E517" s="3">
        <f>+VLOOKUP(A517,'[1]Reporte Canjes Meals'!$A:$K,10,0)</f>
        <v>0</v>
      </c>
      <c r="F517" s="3">
        <f t="shared" si="16"/>
        <v>0</v>
      </c>
      <c r="G517" s="3">
        <f t="shared" si="17"/>
        <v>2.25</v>
      </c>
    </row>
    <row r="518" spans="1:7" x14ac:dyDescent="0.25">
      <c r="A518" s="3">
        <v>14067261</v>
      </c>
      <c r="B518" s="3">
        <v>0.33500000000000002</v>
      </c>
      <c r="C518" s="3">
        <v>18</v>
      </c>
      <c r="D518" s="3">
        <v>4.5</v>
      </c>
      <c r="E518" s="3">
        <f>+VLOOKUP(A518,'[1]Reporte Canjes Meals'!$A:$K,10,0)</f>
        <v>0</v>
      </c>
      <c r="F518" s="3">
        <f t="shared" si="16"/>
        <v>0</v>
      </c>
      <c r="G518" s="3">
        <f t="shared" si="17"/>
        <v>4.5</v>
      </c>
    </row>
    <row r="519" spans="1:7" x14ac:dyDescent="0.25">
      <c r="A519" s="3">
        <v>14070196</v>
      </c>
      <c r="B519" s="3">
        <v>0.33500000000000002</v>
      </c>
      <c r="C519" s="3">
        <v>18</v>
      </c>
      <c r="D519" s="3">
        <v>4.5</v>
      </c>
      <c r="E519" s="3">
        <f>+VLOOKUP(A519,'[1]Reporte Canjes Meals'!$A:$K,10,0)</f>
        <v>18</v>
      </c>
      <c r="F519" s="3">
        <f t="shared" si="16"/>
        <v>4.5</v>
      </c>
      <c r="G519" s="3">
        <f t="shared" si="17"/>
        <v>0</v>
      </c>
    </row>
    <row r="520" spans="1:7" x14ac:dyDescent="0.25">
      <c r="A520" s="3">
        <v>14073033</v>
      </c>
      <c r="B520" s="3">
        <v>3.6999999999999998E-2</v>
      </c>
      <c r="C520" s="3">
        <v>2</v>
      </c>
      <c r="D520" s="3">
        <v>0.5</v>
      </c>
      <c r="E520" s="3">
        <f>+VLOOKUP(A520,'[1]Reporte Canjes Meals'!$A:$K,10,0)</f>
        <v>0</v>
      </c>
      <c r="F520" s="3">
        <f t="shared" si="16"/>
        <v>0</v>
      </c>
      <c r="G520" s="3">
        <f t="shared" si="17"/>
        <v>0.5</v>
      </c>
    </row>
    <row r="521" spans="1:7" x14ac:dyDescent="0.25">
      <c r="A521" s="3">
        <v>14073760</v>
      </c>
      <c r="B521" s="3">
        <v>3.6999999999999998E-2</v>
      </c>
      <c r="C521" s="3">
        <v>2</v>
      </c>
      <c r="D521" s="3">
        <v>0.5</v>
      </c>
      <c r="E521" s="3">
        <f>+VLOOKUP(A521,'[1]Reporte Canjes Meals'!$A:$K,10,0)</f>
        <v>2</v>
      </c>
      <c r="F521" s="3">
        <f t="shared" si="16"/>
        <v>0.5</v>
      </c>
      <c r="G521" s="3">
        <f t="shared" si="17"/>
        <v>0</v>
      </c>
    </row>
    <row r="522" spans="1:7" x14ac:dyDescent="0.25">
      <c r="A522" s="3">
        <v>14083459</v>
      </c>
      <c r="B522" s="3">
        <v>9.2999999999999999E-2</v>
      </c>
      <c r="C522" s="3">
        <v>5</v>
      </c>
      <c r="D522" s="3">
        <v>1.25</v>
      </c>
      <c r="E522" s="3">
        <f>+VLOOKUP(A522,'[1]Reporte Canjes Meals'!$A:$K,10,0)</f>
        <v>4</v>
      </c>
      <c r="F522" s="3">
        <f t="shared" si="16"/>
        <v>1</v>
      </c>
      <c r="G522" s="3">
        <f t="shared" si="17"/>
        <v>0.25</v>
      </c>
    </row>
    <row r="523" spans="1:7" x14ac:dyDescent="0.25">
      <c r="A523" s="3">
        <v>14085337</v>
      </c>
      <c r="B523" s="3">
        <v>0.26100000000000001</v>
      </c>
      <c r="C523" s="3">
        <v>14</v>
      </c>
      <c r="D523" s="3">
        <v>3.5</v>
      </c>
      <c r="E523" s="3">
        <f>+VLOOKUP(A523,'[1]Reporte Canjes Meals'!$A:$K,10,0)</f>
        <v>0</v>
      </c>
      <c r="F523" s="3">
        <f t="shared" si="16"/>
        <v>0</v>
      </c>
      <c r="G523" s="3">
        <f t="shared" si="17"/>
        <v>3.5</v>
      </c>
    </row>
    <row r="524" spans="1:7" x14ac:dyDescent="0.25">
      <c r="A524" s="3">
        <v>14085810</v>
      </c>
      <c r="B524" s="3">
        <v>0.224</v>
      </c>
      <c r="C524" s="3">
        <v>12</v>
      </c>
      <c r="D524" s="3">
        <v>3</v>
      </c>
      <c r="E524" s="3">
        <f>+VLOOKUP(A524,'[1]Reporte Canjes Meals'!$A:$K,10,0)</f>
        <v>0</v>
      </c>
      <c r="F524" s="3">
        <f t="shared" si="16"/>
        <v>0</v>
      </c>
      <c r="G524" s="3">
        <f t="shared" si="17"/>
        <v>3</v>
      </c>
    </row>
    <row r="525" spans="1:7" x14ac:dyDescent="0.25">
      <c r="A525" s="3">
        <v>14086102</v>
      </c>
      <c r="B525" s="3">
        <v>1.9E-2</v>
      </c>
      <c r="C525" s="3">
        <v>1</v>
      </c>
      <c r="D525" s="3">
        <v>0.25</v>
      </c>
      <c r="E525" s="3">
        <f>+VLOOKUP(A525,'[1]Reporte Canjes Meals'!$A:$K,10,0)</f>
        <v>0</v>
      </c>
      <c r="F525" s="3">
        <f t="shared" si="16"/>
        <v>0</v>
      </c>
      <c r="G525" s="3">
        <f t="shared" si="17"/>
        <v>0.25</v>
      </c>
    </row>
    <row r="526" spans="1:7" x14ac:dyDescent="0.25">
      <c r="A526" s="3">
        <v>14086784</v>
      </c>
      <c r="B526" s="3">
        <v>1.9E-2</v>
      </c>
      <c r="C526" s="3">
        <v>1</v>
      </c>
      <c r="D526" s="3">
        <v>0.25</v>
      </c>
      <c r="E526" s="3">
        <f>+VLOOKUP(A526,'[1]Reporte Canjes Meals'!$A:$K,10,0)</f>
        <v>0</v>
      </c>
      <c r="F526" s="3">
        <f t="shared" si="16"/>
        <v>0</v>
      </c>
      <c r="G526" s="3">
        <f t="shared" si="17"/>
        <v>0.25</v>
      </c>
    </row>
    <row r="527" spans="1:7" x14ac:dyDescent="0.25">
      <c r="A527" s="3">
        <v>14092009</v>
      </c>
      <c r="B527" s="3">
        <v>0.112</v>
      </c>
      <c r="C527" s="3">
        <v>6</v>
      </c>
      <c r="D527" s="3">
        <v>1.5</v>
      </c>
      <c r="E527" s="3">
        <f>+VLOOKUP(A527,'[1]Reporte Canjes Meals'!$A:$K,10,0)</f>
        <v>0</v>
      </c>
      <c r="F527" s="3">
        <f t="shared" si="16"/>
        <v>0</v>
      </c>
      <c r="G527" s="3">
        <f t="shared" si="17"/>
        <v>1.5</v>
      </c>
    </row>
    <row r="528" spans="1:7" x14ac:dyDescent="0.25">
      <c r="A528" s="3">
        <v>14109902</v>
      </c>
      <c r="B528" s="3">
        <v>1.9E-2</v>
      </c>
      <c r="C528" s="3">
        <v>1</v>
      </c>
      <c r="D528" s="3">
        <v>0.25</v>
      </c>
      <c r="E528" s="3">
        <f>+VLOOKUP(A528,'[1]Reporte Canjes Meals'!$A:$K,10,0)</f>
        <v>0</v>
      </c>
      <c r="F528" s="3">
        <f t="shared" si="16"/>
        <v>0</v>
      </c>
      <c r="G528" s="3">
        <f t="shared" si="17"/>
        <v>0.25</v>
      </c>
    </row>
    <row r="529" spans="1:7" x14ac:dyDescent="0.25">
      <c r="A529" s="3">
        <v>14115200</v>
      </c>
      <c r="B529" s="3">
        <v>0.112</v>
      </c>
      <c r="C529" s="3">
        <v>6</v>
      </c>
      <c r="D529" s="3">
        <v>1.5</v>
      </c>
      <c r="E529" s="3">
        <f>+VLOOKUP(A529,'[1]Reporte Canjes Meals'!$A:$K,10,0)</f>
        <v>0</v>
      </c>
      <c r="F529" s="3">
        <f t="shared" si="16"/>
        <v>0</v>
      </c>
      <c r="G529" s="3">
        <f t="shared" si="17"/>
        <v>1.5</v>
      </c>
    </row>
    <row r="530" spans="1:7" x14ac:dyDescent="0.25">
      <c r="A530" s="3">
        <v>14126464</v>
      </c>
      <c r="B530" s="3">
        <v>0.112</v>
      </c>
      <c r="C530" s="3">
        <v>6</v>
      </c>
      <c r="D530" s="3">
        <v>1.5</v>
      </c>
      <c r="E530" s="3">
        <f>+VLOOKUP(A530,'[1]Reporte Canjes Meals'!$A:$K,10,0)</f>
        <v>0</v>
      </c>
      <c r="F530" s="3">
        <f t="shared" si="16"/>
        <v>0</v>
      </c>
      <c r="G530" s="3">
        <f t="shared" si="17"/>
        <v>1.5</v>
      </c>
    </row>
    <row r="531" spans="1:7" x14ac:dyDescent="0.25">
      <c r="A531" s="3">
        <v>14126476</v>
      </c>
      <c r="B531" s="3">
        <v>1.9E-2</v>
      </c>
      <c r="C531" s="3">
        <v>1</v>
      </c>
      <c r="D531" s="3">
        <v>0.25</v>
      </c>
      <c r="E531" s="3">
        <f>+VLOOKUP(A531,'[1]Reporte Canjes Meals'!$A:$K,10,0)</f>
        <v>0</v>
      </c>
      <c r="F531" s="3">
        <f t="shared" si="16"/>
        <v>0</v>
      </c>
      <c r="G531" s="3">
        <f t="shared" si="17"/>
        <v>0.25</v>
      </c>
    </row>
    <row r="532" spans="1:7" x14ac:dyDescent="0.25">
      <c r="A532" s="3">
        <v>14128430</v>
      </c>
      <c r="B532" s="3">
        <v>0.40899999999999997</v>
      </c>
      <c r="C532" s="3">
        <v>22</v>
      </c>
      <c r="D532" s="3">
        <v>5.5</v>
      </c>
      <c r="E532" s="3">
        <f>+VLOOKUP(A532,'[1]Reporte Canjes Meals'!$A:$K,10,0)</f>
        <v>5</v>
      </c>
      <c r="F532" s="3">
        <f t="shared" si="16"/>
        <v>1.25</v>
      </c>
      <c r="G532" s="3">
        <f t="shared" si="17"/>
        <v>4.25</v>
      </c>
    </row>
    <row r="533" spans="1:7" x14ac:dyDescent="0.25">
      <c r="A533" s="3">
        <v>14131661</v>
      </c>
      <c r="B533" s="3">
        <v>9.2999999999999999E-2</v>
      </c>
      <c r="C533" s="3">
        <v>5</v>
      </c>
      <c r="D533" s="3">
        <v>1.25</v>
      </c>
      <c r="E533" s="3">
        <f>+VLOOKUP(A533,'[1]Reporte Canjes Meals'!$A:$K,10,0)</f>
        <v>5</v>
      </c>
      <c r="F533" s="3">
        <f t="shared" si="16"/>
        <v>1.25</v>
      </c>
      <c r="G533" s="3">
        <f t="shared" si="17"/>
        <v>0</v>
      </c>
    </row>
    <row r="534" spans="1:7" x14ac:dyDescent="0.25">
      <c r="A534" s="3">
        <v>14132918</v>
      </c>
      <c r="B534" s="3">
        <v>0.223</v>
      </c>
      <c r="C534" s="3">
        <v>12</v>
      </c>
      <c r="D534" s="3">
        <v>3</v>
      </c>
      <c r="E534" s="3">
        <f>+VLOOKUP(A534,'[1]Reporte Canjes Meals'!$A:$K,10,0)</f>
        <v>12</v>
      </c>
      <c r="F534" s="3">
        <f t="shared" si="16"/>
        <v>3</v>
      </c>
      <c r="G534" s="3">
        <f t="shared" si="17"/>
        <v>0</v>
      </c>
    </row>
    <row r="535" spans="1:7" x14ac:dyDescent="0.25">
      <c r="A535" s="3">
        <v>14145938</v>
      </c>
      <c r="B535" s="3">
        <v>9.4E-2</v>
      </c>
      <c r="C535" s="3">
        <v>5</v>
      </c>
      <c r="D535" s="3">
        <v>1.25</v>
      </c>
      <c r="E535" s="3">
        <f>+VLOOKUP(A535,'[1]Reporte Canjes Meals'!$A:$K,10,0)</f>
        <v>3</v>
      </c>
      <c r="F535" s="3">
        <f t="shared" si="16"/>
        <v>0.75</v>
      </c>
      <c r="G535" s="3">
        <f t="shared" si="17"/>
        <v>0.5</v>
      </c>
    </row>
    <row r="536" spans="1:7" x14ac:dyDescent="0.25">
      <c r="A536" s="3">
        <v>14147701</v>
      </c>
      <c r="B536" s="3">
        <v>0.187</v>
      </c>
      <c r="C536" s="3">
        <v>10</v>
      </c>
      <c r="D536" s="3">
        <v>2.5</v>
      </c>
      <c r="E536" s="3">
        <f>+VLOOKUP(A536,'[1]Reporte Canjes Meals'!$A:$K,10,0)</f>
        <v>9</v>
      </c>
      <c r="F536" s="3">
        <f t="shared" si="16"/>
        <v>2.25</v>
      </c>
      <c r="G536" s="3">
        <f t="shared" si="17"/>
        <v>0.25</v>
      </c>
    </row>
    <row r="537" spans="1:7" x14ac:dyDescent="0.25">
      <c r="A537" s="3">
        <v>14151903</v>
      </c>
      <c r="B537" s="3">
        <v>5.6000000000000001E-2</v>
      </c>
      <c r="C537" s="3">
        <v>3</v>
      </c>
      <c r="D537" s="3">
        <v>0.75</v>
      </c>
      <c r="E537" s="3">
        <f>+VLOOKUP(A537,'[1]Reporte Canjes Meals'!$A:$K,10,0)</f>
        <v>3</v>
      </c>
      <c r="F537" s="3">
        <f t="shared" si="16"/>
        <v>0.75</v>
      </c>
      <c r="G537" s="3">
        <f t="shared" si="17"/>
        <v>0</v>
      </c>
    </row>
    <row r="538" spans="1:7" x14ac:dyDescent="0.25">
      <c r="A538" s="3">
        <v>14161220</v>
      </c>
      <c r="B538" s="3">
        <v>7.3999999999999996E-2</v>
      </c>
      <c r="C538" s="3">
        <v>4</v>
      </c>
      <c r="D538" s="3">
        <v>1</v>
      </c>
      <c r="E538" s="3">
        <f>+VLOOKUP(A538,'[1]Reporte Canjes Meals'!$A:$K,10,0)</f>
        <v>4</v>
      </c>
      <c r="F538" s="3">
        <f t="shared" si="16"/>
        <v>1</v>
      </c>
      <c r="G538" s="3">
        <f t="shared" si="17"/>
        <v>0</v>
      </c>
    </row>
    <row r="539" spans="1:7" x14ac:dyDescent="0.25">
      <c r="A539" s="3">
        <v>14163005</v>
      </c>
      <c r="B539" s="3">
        <v>0.33500000000000002</v>
      </c>
      <c r="C539" s="3">
        <v>18</v>
      </c>
      <c r="D539" s="3">
        <v>4.5</v>
      </c>
      <c r="E539" s="3">
        <f>+VLOOKUP(A539,'[1]Reporte Canjes Meals'!$A:$K,10,0)</f>
        <v>0</v>
      </c>
      <c r="F539" s="3">
        <f t="shared" si="16"/>
        <v>0</v>
      </c>
      <c r="G539" s="3">
        <f t="shared" si="17"/>
        <v>4.5</v>
      </c>
    </row>
    <row r="540" spans="1:7" x14ac:dyDescent="0.25">
      <c r="A540" s="3">
        <v>14165239</v>
      </c>
      <c r="B540" s="3">
        <v>1.9E-2</v>
      </c>
      <c r="C540" s="3">
        <v>1</v>
      </c>
      <c r="D540" s="3">
        <v>0.25</v>
      </c>
      <c r="E540" s="3">
        <f>+VLOOKUP(A540,'[1]Reporte Canjes Meals'!$A:$K,10,0)</f>
        <v>1</v>
      </c>
      <c r="F540" s="3">
        <f t="shared" si="16"/>
        <v>0.25</v>
      </c>
      <c r="G540" s="3">
        <f t="shared" si="17"/>
        <v>0</v>
      </c>
    </row>
    <row r="541" spans="1:7" x14ac:dyDescent="0.25">
      <c r="A541" s="3">
        <v>14165254</v>
      </c>
      <c r="B541" s="3">
        <v>1.9E-2</v>
      </c>
      <c r="C541" s="3">
        <v>1</v>
      </c>
      <c r="D541" s="3">
        <v>0.25</v>
      </c>
      <c r="E541" s="3">
        <f>+VLOOKUP(A541,'[1]Reporte Canjes Meals'!$A:$K,10,0)</f>
        <v>0</v>
      </c>
      <c r="F541" s="3">
        <f t="shared" si="16"/>
        <v>0</v>
      </c>
      <c r="G541" s="3">
        <f t="shared" si="17"/>
        <v>0.25</v>
      </c>
    </row>
    <row r="542" spans="1:7" x14ac:dyDescent="0.25">
      <c r="A542" s="3">
        <v>14174268</v>
      </c>
      <c r="B542" s="3">
        <v>1.9E-2</v>
      </c>
      <c r="C542" s="3">
        <v>1</v>
      </c>
      <c r="D542" s="3">
        <v>0.25</v>
      </c>
      <c r="E542" s="3">
        <f>+VLOOKUP(A542,'[1]Reporte Canjes Meals'!$A:$K,10,0)</f>
        <v>1</v>
      </c>
      <c r="F542" s="3">
        <f t="shared" si="16"/>
        <v>0.25</v>
      </c>
      <c r="G542" s="3">
        <f t="shared" si="17"/>
        <v>0</v>
      </c>
    </row>
    <row r="543" spans="1:7" x14ac:dyDescent="0.25">
      <c r="A543" s="3">
        <v>14177558</v>
      </c>
      <c r="B543" s="3">
        <v>0.24199999999999999</v>
      </c>
      <c r="C543" s="3">
        <v>13</v>
      </c>
      <c r="D543" s="3">
        <v>3.25</v>
      </c>
      <c r="E543" s="3">
        <f>+VLOOKUP(A543,'[1]Reporte Canjes Meals'!$A:$K,10,0)</f>
        <v>12</v>
      </c>
      <c r="F543" s="3">
        <f t="shared" si="16"/>
        <v>3</v>
      </c>
      <c r="G543" s="3">
        <f t="shared" si="17"/>
        <v>0.25</v>
      </c>
    </row>
    <row r="544" spans="1:7" x14ac:dyDescent="0.25">
      <c r="A544" s="3">
        <v>14181033</v>
      </c>
      <c r="B544" s="3">
        <v>0.24099999999999999</v>
      </c>
      <c r="C544" s="3">
        <v>13</v>
      </c>
      <c r="D544" s="3">
        <v>3.25</v>
      </c>
      <c r="E544" s="3">
        <f>+VLOOKUP(A544,'[1]Reporte Canjes Meals'!$A:$K,10,0)</f>
        <v>8</v>
      </c>
      <c r="F544" s="3">
        <f t="shared" si="16"/>
        <v>2</v>
      </c>
      <c r="G544" s="3">
        <f t="shared" si="17"/>
        <v>1.25</v>
      </c>
    </row>
    <row r="545" spans="1:7" x14ac:dyDescent="0.25">
      <c r="A545" s="3">
        <v>14181070</v>
      </c>
      <c r="B545" s="3">
        <v>0.111</v>
      </c>
      <c r="C545" s="3">
        <v>6</v>
      </c>
      <c r="D545" s="3">
        <v>1.5</v>
      </c>
      <c r="E545" s="3">
        <f>+VLOOKUP(A545,'[1]Reporte Canjes Meals'!$A:$K,10,0)</f>
        <v>10</v>
      </c>
      <c r="F545" s="3">
        <f t="shared" si="16"/>
        <v>2.5</v>
      </c>
      <c r="G545" s="3">
        <f t="shared" si="17"/>
        <v>-1</v>
      </c>
    </row>
    <row r="546" spans="1:7" x14ac:dyDescent="0.25">
      <c r="A546" s="3">
        <v>14181329</v>
      </c>
      <c r="B546" s="3">
        <v>0.223</v>
      </c>
      <c r="C546" s="3">
        <v>12</v>
      </c>
      <c r="D546" s="3">
        <v>3</v>
      </c>
      <c r="E546" s="3">
        <f>+VLOOKUP(A546,'[1]Reporte Canjes Meals'!$A:$K,10,0)</f>
        <v>0</v>
      </c>
      <c r="F546" s="3">
        <f t="shared" si="16"/>
        <v>0</v>
      </c>
      <c r="G546" s="3">
        <f t="shared" si="17"/>
        <v>3</v>
      </c>
    </row>
    <row r="547" spans="1:7" x14ac:dyDescent="0.25">
      <c r="A547" s="3">
        <v>14184031</v>
      </c>
      <c r="B547" s="3">
        <v>0.33400000000000002</v>
      </c>
      <c r="C547" s="3">
        <v>18</v>
      </c>
      <c r="D547" s="3">
        <v>4.5</v>
      </c>
      <c r="E547" s="3">
        <f>+VLOOKUP(A547,'[1]Reporte Canjes Meals'!$A:$K,10,0)</f>
        <v>9</v>
      </c>
      <c r="F547" s="3">
        <f t="shared" si="16"/>
        <v>2.25</v>
      </c>
      <c r="G547" s="3">
        <f t="shared" si="17"/>
        <v>2.25</v>
      </c>
    </row>
    <row r="548" spans="1:7" x14ac:dyDescent="0.25">
      <c r="A548" s="3">
        <v>14187003</v>
      </c>
      <c r="B548" s="3">
        <v>0.112</v>
      </c>
      <c r="C548" s="3">
        <v>6</v>
      </c>
      <c r="D548" s="3">
        <v>1.5</v>
      </c>
      <c r="E548" s="3">
        <f>+VLOOKUP(A548,'[1]Reporte Canjes Meals'!$A:$K,10,0)</f>
        <v>1</v>
      </c>
      <c r="F548" s="3">
        <f t="shared" si="16"/>
        <v>0.25</v>
      </c>
      <c r="G548" s="3">
        <f t="shared" si="17"/>
        <v>1.25</v>
      </c>
    </row>
    <row r="549" spans="1:7" x14ac:dyDescent="0.25">
      <c r="A549" s="3">
        <v>14187041</v>
      </c>
      <c r="B549" s="3">
        <v>0.185</v>
      </c>
      <c r="C549" s="3">
        <v>10</v>
      </c>
      <c r="D549" s="3">
        <v>2.5</v>
      </c>
      <c r="E549" s="3">
        <f>+VLOOKUP(A549,'[1]Reporte Canjes Meals'!$A:$K,10,0)</f>
        <v>10</v>
      </c>
      <c r="F549" s="3">
        <f t="shared" si="16"/>
        <v>2.5</v>
      </c>
      <c r="G549" s="3">
        <f t="shared" si="17"/>
        <v>0</v>
      </c>
    </row>
    <row r="550" spans="1:7" x14ac:dyDescent="0.25">
      <c r="A550" s="3">
        <v>14188498</v>
      </c>
      <c r="B550" s="3">
        <v>1.9E-2</v>
      </c>
      <c r="C550" s="3">
        <v>1</v>
      </c>
      <c r="D550" s="3">
        <v>0.25</v>
      </c>
      <c r="E550" s="3">
        <f>+VLOOKUP(A550,'[1]Reporte Canjes Meals'!$A:$K,10,0)</f>
        <v>0</v>
      </c>
      <c r="F550" s="3">
        <f t="shared" si="16"/>
        <v>0</v>
      </c>
      <c r="G550" s="3">
        <f t="shared" si="17"/>
        <v>0.25</v>
      </c>
    </row>
    <row r="551" spans="1:7" x14ac:dyDescent="0.25">
      <c r="A551" s="3">
        <v>14188505</v>
      </c>
      <c r="B551" s="3">
        <v>1.9E-2</v>
      </c>
      <c r="C551" s="3">
        <v>1</v>
      </c>
      <c r="D551" s="3">
        <v>0.25</v>
      </c>
      <c r="E551" s="3">
        <f>+VLOOKUP(A551,'[1]Reporte Canjes Meals'!$A:$K,10,0)</f>
        <v>0</v>
      </c>
      <c r="F551" s="3">
        <f t="shared" si="16"/>
        <v>0</v>
      </c>
      <c r="G551" s="3">
        <f t="shared" si="17"/>
        <v>0.25</v>
      </c>
    </row>
    <row r="552" spans="1:7" x14ac:dyDescent="0.25">
      <c r="A552" s="3">
        <v>14190624</v>
      </c>
      <c r="B552" s="3">
        <v>3.6999999999999998E-2</v>
      </c>
      <c r="C552" s="3">
        <v>2</v>
      </c>
      <c r="D552" s="3">
        <v>0.5</v>
      </c>
      <c r="E552" s="3">
        <f>+VLOOKUP(A552,'[1]Reporte Canjes Meals'!$A:$K,10,0)</f>
        <v>2</v>
      </c>
      <c r="F552" s="3">
        <f t="shared" si="16"/>
        <v>0.5</v>
      </c>
      <c r="G552" s="3">
        <f t="shared" si="17"/>
        <v>0</v>
      </c>
    </row>
    <row r="553" spans="1:7" x14ac:dyDescent="0.25">
      <c r="A553" s="3">
        <v>14191379</v>
      </c>
      <c r="B553" s="3">
        <v>0.14799999999999999</v>
      </c>
      <c r="C553" s="3">
        <v>8</v>
      </c>
      <c r="D553" s="3">
        <v>2</v>
      </c>
      <c r="E553" s="3">
        <f>+VLOOKUP(A553,'[1]Reporte Canjes Meals'!$A:$K,10,0)</f>
        <v>8</v>
      </c>
      <c r="F553" s="3">
        <f t="shared" si="16"/>
        <v>2</v>
      </c>
      <c r="G553" s="3">
        <f t="shared" si="17"/>
        <v>0</v>
      </c>
    </row>
    <row r="554" spans="1:7" x14ac:dyDescent="0.25">
      <c r="A554" s="3">
        <v>14193190</v>
      </c>
      <c r="B554" s="3">
        <v>7.3999999999999996E-2</v>
      </c>
      <c r="C554" s="3">
        <v>4</v>
      </c>
      <c r="D554" s="3">
        <v>1</v>
      </c>
      <c r="E554" s="3">
        <f>+VLOOKUP(A554,'[1]Reporte Canjes Meals'!$A:$K,10,0)</f>
        <v>4</v>
      </c>
      <c r="F554" s="3">
        <f t="shared" si="16"/>
        <v>1</v>
      </c>
      <c r="G554" s="3">
        <f t="shared" si="17"/>
        <v>0</v>
      </c>
    </row>
    <row r="555" spans="1:7" x14ac:dyDescent="0.25">
      <c r="A555" s="3">
        <v>14194842</v>
      </c>
      <c r="B555" s="3">
        <v>3.6999999999999998E-2</v>
      </c>
      <c r="C555" s="3">
        <v>2</v>
      </c>
      <c r="D555" s="3">
        <v>0.5</v>
      </c>
      <c r="E555" s="3">
        <f>+VLOOKUP(A555,'[1]Reporte Canjes Meals'!$A:$K,10,0)</f>
        <v>2</v>
      </c>
      <c r="F555" s="3">
        <f t="shared" si="16"/>
        <v>0.5</v>
      </c>
      <c r="G555" s="3">
        <f t="shared" si="17"/>
        <v>0</v>
      </c>
    </row>
    <row r="556" spans="1:7" x14ac:dyDescent="0.25">
      <c r="A556" s="3">
        <v>14194917</v>
      </c>
      <c r="B556" s="3">
        <v>0.72499999999999998</v>
      </c>
      <c r="C556" s="3">
        <v>39</v>
      </c>
      <c r="D556" s="3">
        <v>9.75</v>
      </c>
      <c r="E556" s="3">
        <f>+VLOOKUP(A556,'[1]Reporte Canjes Meals'!$A:$K,10,0)</f>
        <v>4</v>
      </c>
      <c r="F556" s="3">
        <f t="shared" si="16"/>
        <v>1</v>
      </c>
      <c r="G556" s="3">
        <f t="shared" si="17"/>
        <v>8.75</v>
      </c>
    </row>
    <row r="557" spans="1:7" x14ac:dyDescent="0.25">
      <c r="A557" s="3">
        <v>14196130</v>
      </c>
      <c r="B557" s="3">
        <v>0.26100000000000001</v>
      </c>
      <c r="C557" s="3">
        <v>14</v>
      </c>
      <c r="D557" s="3">
        <v>3.5</v>
      </c>
      <c r="E557" s="3">
        <f>+VLOOKUP(A557,'[1]Reporte Canjes Meals'!$A:$K,10,0)</f>
        <v>0</v>
      </c>
      <c r="F557" s="3">
        <f t="shared" si="16"/>
        <v>0</v>
      </c>
      <c r="G557" s="3">
        <f t="shared" si="17"/>
        <v>3.5</v>
      </c>
    </row>
    <row r="558" spans="1:7" x14ac:dyDescent="0.25">
      <c r="A558" s="3">
        <v>14196135</v>
      </c>
      <c r="B558" s="3">
        <v>1.9E-2</v>
      </c>
      <c r="C558" s="3">
        <v>1</v>
      </c>
      <c r="D558" s="3">
        <v>0.25</v>
      </c>
      <c r="E558" s="3">
        <f>+VLOOKUP(A558,'[1]Reporte Canjes Meals'!$A:$K,10,0)</f>
        <v>0</v>
      </c>
      <c r="F558" s="3">
        <f t="shared" si="16"/>
        <v>0</v>
      </c>
      <c r="G558" s="3">
        <f t="shared" si="17"/>
        <v>0.25</v>
      </c>
    </row>
    <row r="559" spans="1:7" x14ac:dyDescent="0.25">
      <c r="A559" s="3">
        <v>14196142</v>
      </c>
      <c r="B559" s="3">
        <v>5.6000000000000001E-2</v>
      </c>
      <c r="C559" s="3">
        <v>3</v>
      </c>
      <c r="D559" s="3">
        <v>0.75</v>
      </c>
      <c r="E559" s="3">
        <f>+VLOOKUP(A559,'[1]Reporte Canjes Meals'!$A:$K,10,0)</f>
        <v>0</v>
      </c>
      <c r="F559" s="3">
        <f t="shared" si="16"/>
        <v>0</v>
      </c>
      <c r="G559" s="3">
        <f t="shared" si="17"/>
        <v>0.75</v>
      </c>
    </row>
    <row r="560" spans="1:7" x14ac:dyDescent="0.25">
      <c r="A560" s="3">
        <v>14199734</v>
      </c>
      <c r="B560" s="3">
        <v>0.187</v>
      </c>
      <c r="C560" s="3">
        <v>10</v>
      </c>
      <c r="D560" s="3">
        <v>2.5</v>
      </c>
      <c r="E560" s="3">
        <f>+VLOOKUP(A560,'[1]Reporte Canjes Meals'!$A:$K,10,0)</f>
        <v>3</v>
      </c>
      <c r="F560" s="3">
        <f t="shared" si="16"/>
        <v>0.75</v>
      </c>
      <c r="G560" s="3">
        <f t="shared" si="17"/>
        <v>1.75</v>
      </c>
    </row>
    <row r="561" spans="1:7" x14ac:dyDescent="0.25">
      <c r="A561" s="3">
        <v>14203586</v>
      </c>
      <c r="B561" s="3">
        <v>0.14899999999999999</v>
      </c>
      <c r="C561" s="3">
        <v>8</v>
      </c>
      <c r="D561" s="3">
        <v>2</v>
      </c>
      <c r="E561" s="3">
        <f>+VLOOKUP(A561,'[1]Reporte Canjes Meals'!$A:$K,10,0)</f>
        <v>0</v>
      </c>
      <c r="F561" s="3">
        <f t="shared" si="16"/>
        <v>0</v>
      </c>
      <c r="G561" s="3">
        <f t="shared" si="17"/>
        <v>2</v>
      </c>
    </row>
    <row r="562" spans="1:7" x14ac:dyDescent="0.25">
      <c r="A562" s="3">
        <v>14204925</v>
      </c>
      <c r="B562" s="3">
        <v>0.14899999999999999</v>
      </c>
      <c r="C562" s="3">
        <v>8</v>
      </c>
      <c r="D562" s="3">
        <v>2</v>
      </c>
      <c r="E562" s="3">
        <f>+VLOOKUP(A562,'[1]Reporte Canjes Meals'!$A:$K,10,0)</f>
        <v>0</v>
      </c>
      <c r="F562" s="3">
        <f t="shared" si="16"/>
        <v>0</v>
      </c>
      <c r="G562" s="3">
        <f t="shared" si="17"/>
        <v>2</v>
      </c>
    </row>
    <row r="563" spans="1:7" x14ac:dyDescent="0.25">
      <c r="A563" s="3">
        <v>14204926</v>
      </c>
      <c r="B563" s="3">
        <v>0.14899999999999999</v>
      </c>
      <c r="C563" s="3">
        <v>8</v>
      </c>
      <c r="D563" s="3">
        <v>2</v>
      </c>
      <c r="E563" s="3">
        <f>+VLOOKUP(A563,'[1]Reporte Canjes Meals'!$A:$K,10,0)</f>
        <v>0</v>
      </c>
      <c r="F563" s="3">
        <f t="shared" si="16"/>
        <v>0</v>
      </c>
      <c r="G563" s="3">
        <f t="shared" si="17"/>
        <v>2</v>
      </c>
    </row>
    <row r="564" spans="1:7" x14ac:dyDescent="0.25">
      <c r="A564" s="3">
        <v>14204939</v>
      </c>
      <c r="B564" s="3">
        <v>0.14899999999999999</v>
      </c>
      <c r="C564" s="3">
        <v>8</v>
      </c>
      <c r="D564" s="3">
        <v>2</v>
      </c>
      <c r="E564" s="3">
        <f>+VLOOKUP(A564,'[1]Reporte Canjes Meals'!$A:$K,10,0)</f>
        <v>0</v>
      </c>
      <c r="F564" s="3">
        <f t="shared" si="16"/>
        <v>0</v>
      </c>
      <c r="G564" s="3">
        <f t="shared" si="17"/>
        <v>2</v>
      </c>
    </row>
    <row r="565" spans="1:7" x14ac:dyDescent="0.25">
      <c r="A565" s="3">
        <v>14205182</v>
      </c>
      <c r="B565" s="3">
        <v>0.111</v>
      </c>
      <c r="C565" s="3">
        <v>6</v>
      </c>
      <c r="D565" s="3">
        <v>1.5</v>
      </c>
      <c r="E565" s="3">
        <f>+VLOOKUP(A565,'[1]Reporte Canjes Meals'!$A:$K,10,0)</f>
        <v>0</v>
      </c>
      <c r="F565" s="3">
        <f t="shared" si="16"/>
        <v>0</v>
      </c>
      <c r="G565" s="3">
        <f t="shared" si="17"/>
        <v>1.5</v>
      </c>
    </row>
    <row r="566" spans="1:7" x14ac:dyDescent="0.25">
      <c r="A566" s="3">
        <v>14205184</v>
      </c>
      <c r="B566" s="3">
        <v>0.46500000000000002</v>
      </c>
      <c r="C566" s="3">
        <v>25</v>
      </c>
      <c r="D566" s="3">
        <v>6.25</v>
      </c>
      <c r="E566" s="3">
        <f>+VLOOKUP(A566,'[1]Reporte Canjes Meals'!$A:$K,10,0)</f>
        <v>0</v>
      </c>
      <c r="F566" s="3">
        <f t="shared" si="16"/>
        <v>0</v>
      </c>
      <c r="G566" s="3">
        <f t="shared" si="17"/>
        <v>6.25</v>
      </c>
    </row>
    <row r="567" spans="1:7" x14ac:dyDescent="0.25">
      <c r="A567" s="3">
        <v>14205808</v>
      </c>
      <c r="B567" s="3">
        <v>0.14899999999999999</v>
      </c>
      <c r="C567" s="3">
        <v>8</v>
      </c>
      <c r="D567" s="3">
        <v>2</v>
      </c>
      <c r="E567" s="3">
        <f>+VLOOKUP(A567,'[1]Reporte Canjes Meals'!$A:$K,10,0)</f>
        <v>0</v>
      </c>
      <c r="F567" s="3">
        <f t="shared" si="16"/>
        <v>0</v>
      </c>
      <c r="G567" s="3">
        <f t="shared" si="17"/>
        <v>2</v>
      </c>
    </row>
    <row r="568" spans="1:7" x14ac:dyDescent="0.25">
      <c r="A568" s="3">
        <v>14206248</v>
      </c>
      <c r="B568" s="3">
        <v>0.20399999999999999</v>
      </c>
      <c r="C568" s="3">
        <v>11</v>
      </c>
      <c r="D568" s="3">
        <v>2.75</v>
      </c>
      <c r="E568" s="3">
        <f>+VLOOKUP(A568,'[1]Reporte Canjes Meals'!$A:$K,10,0)</f>
        <v>2</v>
      </c>
      <c r="F568" s="3">
        <f t="shared" si="16"/>
        <v>0.5</v>
      </c>
      <c r="G568" s="3">
        <f t="shared" si="17"/>
        <v>2.25</v>
      </c>
    </row>
    <row r="569" spans="1:7" x14ac:dyDescent="0.25">
      <c r="A569" s="3">
        <v>14206732</v>
      </c>
      <c r="B569" s="3">
        <v>1.9E-2</v>
      </c>
      <c r="C569" s="3">
        <v>1</v>
      </c>
      <c r="D569" s="3">
        <v>0.25</v>
      </c>
      <c r="E569" s="3">
        <f>+VLOOKUP(A569,'[1]Reporte Canjes Meals'!$A:$K,10,0)</f>
        <v>0</v>
      </c>
      <c r="F569" s="3">
        <f t="shared" si="16"/>
        <v>0</v>
      </c>
      <c r="G569" s="3">
        <f t="shared" si="17"/>
        <v>0.25</v>
      </c>
    </row>
    <row r="570" spans="1:7" x14ac:dyDescent="0.25">
      <c r="A570" s="3">
        <v>14219286</v>
      </c>
      <c r="B570" s="3">
        <v>0.224</v>
      </c>
      <c r="C570" s="3">
        <v>12</v>
      </c>
      <c r="D570" s="3">
        <v>3</v>
      </c>
      <c r="E570" s="3">
        <f>+VLOOKUP(A570,'[1]Reporte Canjes Meals'!$A:$K,10,0)</f>
        <v>6</v>
      </c>
      <c r="F570" s="3">
        <f t="shared" si="16"/>
        <v>1.5</v>
      </c>
      <c r="G570" s="3">
        <f t="shared" si="17"/>
        <v>1.5</v>
      </c>
    </row>
    <row r="571" spans="1:7" x14ac:dyDescent="0.25">
      <c r="A571" s="3">
        <v>14219306</v>
      </c>
      <c r="B571" s="3">
        <v>0.33500000000000002</v>
      </c>
      <c r="C571" s="3">
        <v>18</v>
      </c>
      <c r="D571" s="3">
        <v>4.5</v>
      </c>
      <c r="E571" s="3">
        <f>+VLOOKUP(A571,'[1]Reporte Canjes Meals'!$A:$K,10,0)</f>
        <v>4</v>
      </c>
      <c r="F571" s="3">
        <f t="shared" si="16"/>
        <v>1</v>
      </c>
      <c r="G571" s="3">
        <f t="shared" si="17"/>
        <v>3.5</v>
      </c>
    </row>
    <row r="572" spans="1:7" x14ac:dyDescent="0.25">
      <c r="A572" s="3">
        <v>14219319</v>
      </c>
      <c r="B572" s="3">
        <v>5.6000000000000001E-2</v>
      </c>
      <c r="C572" s="3">
        <v>3</v>
      </c>
      <c r="D572" s="3">
        <v>0.75</v>
      </c>
      <c r="E572" s="3">
        <f>+VLOOKUP(A572,'[1]Reporte Canjes Meals'!$A:$K,10,0)</f>
        <v>0</v>
      </c>
      <c r="F572" s="3">
        <f t="shared" si="16"/>
        <v>0</v>
      </c>
      <c r="G572" s="3">
        <f t="shared" si="17"/>
        <v>0.75</v>
      </c>
    </row>
    <row r="573" spans="1:7" x14ac:dyDescent="0.25">
      <c r="A573" s="3">
        <v>14219357</v>
      </c>
      <c r="B573" s="3">
        <v>7.3999999999999996E-2</v>
      </c>
      <c r="C573" s="3">
        <v>4</v>
      </c>
      <c r="D573" s="3">
        <v>1</v>
      </c>
      <c r="E573" s="3">
        <f>+VLOOKUP(A573,'[1]Reporte Canjes Meals'!$A:$K,10,0)</f>
        <v>0</v>
      </c>
      <c r="F573" s="3">
        <f t="shared" si="16"/>
        <v>0</v>
      </c>
      <c r="G573" s="3">
        <f t="shared" si="17"/>
        <v>1</v>
      </c>
    </row>
    <row r="574" spans="1:7" x14ac:dyDescent="0.25">
      <c r="A574" s="3">
        <v>14223657</v>
      </c>
      <c r="B574" s="3">
        <v>0.16700000000000001</v>
      </c>
      <c r="C574" s="3">
        <v>9</v>
      </c>
      <c r="D574" s="3">
        <v>2.25</v>
      </c>
      <c r="E574" s="3">
        <f>+VLOOKUP(A574,'[1]Reporte Canjes Meals'!$A:$K,10,0)</f>
        <v>0</v>
      </c>
      <c r="F574" s="3">
        <f t="shared" si="16"/>
        <v>0</v>
      </c>
      <c r="G574" s="3">
        <f t="shared" si="17"/>
        <v>2.25</v>
      </c>
    </row>
    <row r="575" spans="1:7" x14ac:dyDescent="0.25">
      <c r="A575" s="3">
        <v>14223714</v>
      </c>
      <c r="B575" s="3">
        <v>0.14899999999999999</v>
      </c>
      <c r="C575" s="3">
        <v>8</v>
      </c>
      <c r="D575" s="3">
        <v>2</v>
      </c>
      <c r="E575" s="3">
        <f>+VLOOKUP(A575,'[1]Reporte Canjes Meals'!$A:$K,10,0)</f>
        <v>4</v>
      </c>
      <c r="F575" s="3">
        <f t="shared" si="16"/>
        <v>1</v>
      </c>
      <c r="G575" s="3">
        <f t="shared" si="17"/>
        <v>1</v>
      </c>
    </row>
    <row r="576" spans="1:7" x14ac:dyDescent="0.25">
      <c r="A576" s="3">
        <v>14223719</v>
      </c>
      <c r="B576" s="3">
        <v>0.502</v>
      </c>
      <c r="C576" s="3">
        <v>27</v>
      </c>
      <c r="D576" s="3">
        <v>6.75</v>
      </c>
      <c r="E576" s="3">
        <f>+VLOOKUP(A576,'[1]Reporte Canjes Meals'!$A:$K,10,0)</f>
        <v>18</v>
      </c>
      <c r="F576" s="3">
        <f t="shared" si="16"/>
        <v>4.5</v>
      </c>
      <c r="G576" s="3">
        <f t="shared" si="17"/>
        <v>2.25</v>
      </c>
    </row>
    <row r="577" spans="1:7" x14ac:dyDescent="0.25">
      <c r="A577" s="3">
        <v>14225137</v>
      </c>
      <c r="B577" s="3">
        <v>1.9E-2</v>
      </c>
      <c r="C577" s="3">
        <v>1</v>
      </c>
      <c r="D577" s="3">
        <v>0.25</v>
      </c>
      <c r="E577" s="3">
        <f>+VLOOKUP(A577,'[1]Reporte Canjes Meals'!$A:$K,10,0)</f>
        <v>0</v>
      </c>
      <c r="F577" s="3">
        <f t="shared" si="16"/>
        <v>0</v>
      </c>
      <c r="G577" s="3">
        <f t="shared" si="17"/>
        <v>0.25</v>
      </c>
    </row>
    <row r="578" spans="1:7" x14ac:dyDescent="0.25">
      <c r="A578" s="3">
        <v>14225198</v>
      </c>
      <c r="B578" s="3">
        <v>0.111</v>
      </c>
      <c r="C578" s="3">
        <v>6</v>
      </c>
      <c r="D578" s="3">
        <v>1.5</v>
      </c>
      <c r="E578" s="3">
        <f>+VLOOKUP(A578,'[1]Reporte Canjes Meals'!$A:$K,10,0)</f>
        <v>6</v>
      </c>
      <c r="F578" s="3">
        <f t="shared" si="16"/>
        <v>1.5</v>
      </c>
      <c r="G578" s="3">
        <f t="shared" si="17"/>
        <v>0</v>
      </c>
    </row>
    <row r="579" spans="1:7" x14ac:dyDescent="0.25">
      <c r="A579" s="3">
        <v>14227946</v>
      </c>
      <c r="B579" s="3">
        <v>0.185</v>
      </c>
      <c r="C579" s="3">
        <v>10</v>
      </c>
      <c r="D579" s="3">
        <v>2.5</v>
      </c>
      <c r="E579" s="3">
        <f>+VLOOKUP(A579,'[1]Reporte Canjes Meals'!$A:$K,10,0)</f>
        <v>10</v>
      </c>
      <c r="F579" s="3">
        <f t="shared" ref="F579:F642" si="18">+E579/4</f>
        <v>2.5</v>
      </c>
      <c r="G579" s="3">
        <f t="shared" ref="G579:G642" si="19">+D579-F579</f>
        <v>0</v>
      </c>
    </row>
    <row r="580" spans="1:7" x14ac:dyDescent="0.25">
      <c r="A580" s="3">
        <v>14230273</v>
      </c>
      <c r="B580" s="3">
        <v>0.66900000000000004</v>
      </c>
      <c r="C580" s="3">
        <v>36</v>
      </c>
      <c r="D580" s="3">
        <v>9</v>
      </c>
      <c r="E580" s="3">
        <f>+VLOOKUP(A580,'[1]Reporte Canjes Meals'!$A:$K,10,0)</f>
        <v>0</v>
      </c>
      <c r="F580" s="3">
        <f t="shared" si="18"/>
        <v>0</v>
      </c>
      <c r="G580" s="3">
        <f t="shared" si="19"/>
        <v>9</v>
      </c>
    </row>
    <row r="581" spans="1:7" x14ac:dyDescent="0.25">
      <c r="A581" s="3">
        <v>14230983</v>
      </c>
      <c r="B581" s="3">
        <v>7.3999999999999996E-2</v>
      </c>
      <c r="C581" s="3">
        <v>4</v>
      </c>
      <c r="D581" s="3">
        <v>1</v>
      </c>
      <c r="E581" s="3">
        <f>+VLOOKUP(A581,'[1]Reporte Canjes Meals'!$A:$K,10,0)</f>
        <v>0</v>
      </c>
      <c r="F581" s="3">
        <f t="shared" si="18"/>
        <v>0</v>
      </c>
      <c r="G581" s="3">
        <f t="shared" si="19"/>
        <v>1</v>
      </c>
    </row>
    <row r="582" spans="1:7" x14ac:dyDescent="0.25">
      <c r="A582" s="3">
        <v>14230986</v>
      </c>
      <c r="B582" s="3">
        <v>0.29699999999999999</v>
      </c>
      <c r="C582" s="3">
        <v>16</v>
      </c>
      <c r="D582" s="3">
        <v>4</v>
      </c>
      <c r="E582" s="3">
        <f>+VLOOKUP(A582,'[1]Reporte Canjes Meals'!$A:$K,10,0)</f>
        <v>16</v>
      </c>
      <c r="F582" s="3">
        <f t="shared" si="18"/>
        <v>4</v>
      </c>
      <c r="G582" s="3">
        <f t="shared" si="19"/>
        <v>0</v>
      </c>
    </row>
    <row r="583" spans="1:7" x14ac:dyDescent="0.25">
      <c r="A583" s="3">
        <v>14230991</v>
      </c>
      <c r="B583" s="3">
        <v>0.28000000000000003</v>
      </c>
      <c r="C583" s="3">
        <v>15</v>
      </c>
      <c r="D583" s="3">
        <v>3.75</v>
      </c>
      <c r="E583" s="3">
        <f>+VLOOKUP(A583,'[1]Reporte Canjes Meals'!$A:$K,10,0)</f>
        <v>8</v>
      </c>
      <c r="F583" s="3">
        <f t="shared" si="18"/>
        <v>2</v>
      </c>
      <c r="G583" s="3">
        <f t="shared" si="19"/>
        <v>1.75</v>
      </c>
    </row>
    <row r="584" spans="1:7" x14ac:dyDescent="0.25">
      <c r="A584" s="3">
        <v>14231140</v>
      </c>
      <c r="B584" s="3">
        <v>0.223</v>
      </c>
      <c r="C584" s="3">
        <v>12</v>
      </c>
      <c r="D584" s="3">
        <v>3</v>
      </c>
      <c r="E584" s="3">
        <f>+VLOOKUP(A584,'[1]Reporte Canjes Meals'!$A:$K,10,0)</f>
        <v>8</v>
      </c>
      <c r="F584" s="3">
        <f t="shared" si="18"/>
        <v>2</v>
      </c>
      <c r="G584" s="3">
        <f t="shared" si="19"/>
        <v>1</v>
      </c>
    </row>
    <row r="585" spans="1:7" x14ac:dyDescent="0.25">
      <c r="A585" s="3">
        <v>14236530</v>
      </c>
      <c r="B585" s="3">
        <v>1.9E-2</v>
      </c>
      <c r="C585" s="3">
        <v>1</v>
      </c>
      <c r="D585" s="3">
        <v>0.25</v>
      </c>
      <c r="E585" s="3">
        <f>+VLOOKUP(A585,'[1]Reporte Canjes Meals'!$A:$K,10,0)</f>
        <v>0</v>
      </c>
      <c r="F585" s="3">
        <f t="shared" si="18"/>
        <v>0</v>
      </c>
      <c r="G585" s="3">
        <f t="shared" si="19"/>
        <v>0.25</v>
      </c>
    </row>
    <row r="586" spans="1:7" x14ac:dyDescent="0.25">
      <c r="A586" s="3">
        <v>14236739</v>
      </c>
      <c r="B586" s="3">
        <v>2.2869999999999999</v>
      </c>
      <c r="C586" s="3">
        <v>123</v>
      </c>
      <c r="D586" s="3">
        <v>30.75</v>
      </c>
      <c r="E586" s="3">
        <f>+VLOOKUP(A586,'[1]Reporte Canjes Meals'!$A:$K,10,0)</f>
        <v>61</v>
      </c>
      <c r="F586" s="3">
        <f t="shared" si="18"/>
        <v>15.25</v>
      </c>
      <c r="G586" s="3">
        <f t="shared" si="19"/>
        <v>15.5</v>
      </c>
    </row>
    <row r="587" spans="1:7" x14ac:dyDescent="0.25">
      <c r="A587" s="3">
        <v>14238917</v>
      </c>
      <c r="B587" s="3">
        <v>0.81899999999999995</v>
      </c>
      <c r="C587" s="3">
        <v>44</v>
      </c>
      <c r="D587" s="3">
        <v>11</v>
      </c>
      <c r="E587" s="3">
        <f>+VLOOKUP(A587,'[1]Reporte Canjes Meals'!$A:$K,10,0)</f>
        <v>38</v>
      </c>
      <c r="F587" s="3">
        <f t="shared" si="18"/>
        <v>9.5</v>
      </c>
      <c r="G587" s="3">
        <f t="shared" si="19"/>
        <v>1.5</v>
      </c>
    </row>
    <row r="588" spans="1:7" x14ac:dyDescent="0.25">
      <c r="A588" s="3">
        <v>14241418</v>
      </c>
      <c r="B588" s="3">
        <v>7.4999999999999997E-2</v>
      </c>
      <c r="C588" s="3">
        <v>4</v>
      </c>
      <c r="D588" s="3">
        <v>1</v>
      </c>
      <c r="E588" s="3">
        <f>+VLOOKUP(A588,'[1]Reporte Canjes Meals'!$A:$K,10,0)</f>
        <v>0</v>
      </c>
      <c r="F588" s="3">
        <f t="shared" si="18"/>
        <v>0</v>
      </c>
      <c r="G588" s="3">
        <f t="shared" si="19"/>
        <v>1</v>
      </c>
    </row>
    <row r="589" spans="1:7" x14ac:dyDescent="0.25">
      <c r="A589" s="3">
        <v>14241903</v>
      </c>
      <c r="B589" s="3">
        <v>1.9E-2</v>
      </c>
      <c r="C589" s="3">
        <v>1</v>
      </c>
      <c r="D589" s="3">
        <v>0.25</v>
      </c>
      <c r="E589" s="3">
        <f>+VLOOKUP(A589,'[1]Reporte Canjes Meals'!$A:$K,10,0)</f>
        <v>0</v>
      </c>
      <c r="F589" s="3">
        <f t="shared" si="18"/>
        <v>0</v>
      </c>
      <c r="G589" s="3">
        <f t="shared" si="19"/>
        <v>0.25</v>
      </c>
    </row>
    <row r="590" spans="1:7" x14ac:dyDescent="0.25">
      <c r="A590" s="3">
        <v>14246103</v>
      </c>
      <c r="B590" s="3">
        <v>0.186</v>
      </c>
      <c r="C590" s="3">
        <v>10</v>
      </c>
      <c r="D590" s="3">
        <v>2.5</v>
      </c>
      <c r="E590" s="3">
        <f>+VLOOKUP(A590,'[1]Reporte Canjes Meals'!$A:$K,10,0)</f>
        <v>6</v>
      </c>
      <c r="F590" s="3">
        <f t="shared" si="18"/>
        <v>1.5</v>
      </c>
      <c r="G590" s="3">
        <f t="shared" si="19"/>
        <v>1</v>
      </c>
    </row>
    <row r="591" spans="1:7" x14ac:dyDescent="0.25">
      <c r="A591" s="3">
        <v>14246109</v>
      </c>
      <c r="B591" s="3">
        <v>7.3999999999999996E-2</v>
      </c>
      <c r="C591" s="3">
        <v>4</v>
      </c>
      <c r="D591" s="3">
        <v>1</v>
      </c>
      <c r="E591" s="3">
        <f>+VLOOKUP(A591,'[1]Reporte Canjes Meals'!$A:$K,10,0)</f>
        <v>4</v>
      </c>
      <c r="F591" s="3">
        <f t="shared" si="18"/>
        <v>1</v>
      </c>
      <c r="G591" s="3">
        <f t="shared" si="19"/>
        <v>0</v>
      </c>
    </row>
    <row r="592" spans="1:7" x14ac:dyDescent="0.25">
      <c r="A592" s="3">
        <v>14246342</v>
      </c>
      <c r="B592" s="3">
        <v>0.33500000000000002</v>
      </c>
      <c r="C592" s="3">
        <v>18</v>
      </c>
      <c r="D592" s="3">
        <v>4.5</v>
      </c>
      <c r="E592" s="3">
        <f>+VLOOKUP(A592,'[1]Reporte Canjes Meals'!$A:$K,10,0)</f>
        <v>3</v>
      </c>
      <c r="F592" s="3">
        <f t="shared" si="18"/>
        <v>0.75</v>
      </c>
      <c r="G592" s="3">
        <f t="shared" si="19"/>
        <v>3.75</v>
      </c>
    </row>
    <row r="593" spans="1:7" x14ac:dyDescent="0.25">
      <c r="A593" s="3">
        <v>14246355</v>
      </c>
      <c r="B593" s="3">
        <v>7.3999999999999996E-2</v>
      </c>
      <c r="C593" s="3">
        <v>4</v>
      </c>
      <c r="D593" s="3">
        <v>1</v>
      </c>
      <c r="E593" s="3">
        <f>+VLOOKUP(A593,'[1]Reporte Canjes Meals'!$A:$K,10,0)</f>
        <v>4</v>
      </c>
      <c r="F593" s="3">
        <f t="shared" si="18"/>
        <v>1</v>
      </c>
      <c r="G593" s="3">
        <f t="shared" si="19"/>
        <v>0</v>
      </c>
    </row>
    <row r="594" spans="1:7" x14ac:dyDescent="0.25">
      <c r="A594" s="3">
        <v>14246651</v>
      </c>
      <c r="B594" s="3">
        <v>7.3999999999999996E-2</v>
      </c>
      <c r="C594" s="3">
        <v>4</v>
      </c>
      <c r="D594" s="3">
        <v>1</v>
      </c>
      <c r="E594" s="3">
        <f>+VLOOKUP(A594,'[1]Reporte Canjes Meals'!$A:$K,10,0)</f>
        <v>4</v>
      </c>
      <c r="F594" s="3">
        <f t="shared" si="18"/>
        <v>1</v>
      </c>
      <c r="G594" s="3">
        <f t="shared" si="19"/>
        <v>0</v>
      </c>
    </row>
    <row r="595" spans="1:7" x14ac:dyDescent="0.25">
      <c r="A595" s="3">
        <v>14251032</v>
      </c>
      <c r="B595" s="3">
        <v>1.9E-2</v>
      </c>
      <c r="C595" s="3">
        <v>1</v>
      </c>
      <c r="D595" s="3">
        <v>0.25</v>
      </c>
      <c r="E595" s="3">
        <f>+VLOOKUP(A595,'[1]Reporte Canjes Meals'!$A:$K,10,0)</f>
        <v>1</v>
      </c>
      <c r="F595" s="3">
        <f t="shared" si="18"/>
        <v>0.25</v>
      </c>
      <c r="G595" s="3">
        <f t="shared" si="19"/>
        <v>0</v>
      </c>
    </row>
    <row r="596" spans="1:7" x14ac:dyDescent="0.25">
      <c r="A596" s="3">
        <v>14251286</v>
      </c>
      <c r="B596" s="3">
        <v>5.6000000000000001E-2</v>
      </c>
      <c r="C596" s="3">
        <v>3</v>
      </c>
      <c r="D596" s="3">
        <v>0.75</v>
      </c>
      <c r="E596" s="3">
        <f>+VLOOKUP(A596,'[1]Reporte Canjes Meals'!$A:$K,10,0)</f>
        <v>0</v>
      </c>
      <c r="F596" s="3">
        <f t="shared" si="18"/>
        <v>0</v>
      </c>
      <c r="G596" s="3">
        <f t="shared" si="19"/>
        <v>0.75</v>
      </c>
    </row>
    <row r="597" spans="1:7" x14ac:dyDescent="0.25">
      <c r="A597" s="3">
        <v>14254072</v>
      </c>
      <c r="B597" s="3">
        <v>1.9E-2</v>
      </c>
      <c r="C597" s="3">
        <v>1</v>
      </c>
      <c r="D597" s="3">
        <v>0.25</v>
      </c>
      <c r="E597" s="3">
        <f>+VLOOKUP(A597,'[1]Reporte Canjes Meals'!$A:$K,10,0)</f>
        <v>0</v>
      </c>
      <c r="F597" s="3">
        <f t="shared" si="18"/>
        <v>0</v>
      </c>
      <c r="G597" s="3">
        <f t="shared" si="19"/>
        <v>0.25</v>
      </c>
    </row>
    <row r="598" spans="1:7" x14ac:dyDescent="0.25">
      <c r="A598" s="3">
        <v>14254083</v>
      </c>
      <c r="B598" s="3">
        <v>0.14799999999999999</v>
      </c>
      <c r="C598" s="3">
        <v>8</v>
      </c>
      <c r="D598" s="3">
        <v>2</v>
      </c>
      <c r="E598" s="3">
        <f>+VLOOKUP(A598,'[1]Reporte Canjes Meals'!$A:$K,10,0)</f>
        <v>8</v>
      </c>
      <c r="F598" s="3">
        <f t="shared" si="18"/>
        <v>2</v>
      </c>
      <c r="G598" s="3">
        <f t="shared" si="19"/>
        <v>0</v>
      </c>
    </row>
    <row r="599" spans="1:7" x14ac:dyDescent="0.25">
      <c r="A599" s="3">
        <v>14257165</v>
      </c>
      <c r="B599" s="3">
        <v>1.9E-2</v>
      </c>
      <c r="C599" s="3">
        <v>1</v>
      </c>
      <c r="D599" s="3">
        <v>0.25</v>
      </c>
      <c r="E599" s="3">
        <f>+VLOOKUP(A599,'[1]Reporte Canjes Meals'!$A:$K,10,0)</f>
        <v>1</v>
      </c>
      <c r="F599" s="3">
        <f t="shared" si="18"/>
        <v>0.25</v>
      </c>
      <c r="G599" s="3">
        <f t="shared" si="19"/>
        <v>0</v>
      </c>
    </row>
    <row r="600" spans="1:7" x14ac:dyDescent="0.25">
      <c r="A600" s="3">
        <v>14259571</v>
      </c>
      <c r="B600" s="3">
        <v>3.6999999999999998E-2</v>
      </c>
      <c r="C600" s="3">
        <v>2</v>
      </c>
      <c r="D600" s="3">
        <v>0.5</v>
      </c>
      <c r="E600" s="3">
        <f>+VLOOKUP(A600,'[1]Reporte Canjes Meals'!$A:$K,10,0)</f>
        <v>0</v>
      </c>
      <c r="F600" s="3">
        <f t="shared" si="18"/>
        <v>0</v>
      </c>
      <c r="G600" s="3">
        <f t="shared" si="19"/>
        <v>0.5</v>
      </c>
    </row>
    <row r="601" spans="1:7" x14ac:dyDescent="0.25">
      <c r="A601" s="3">
        <v>14260469</v>
      </c>
      <c r="B601" s="3">
        <v>0.13100000000000001</v>
      </c>
      <c r="C601" s="3">
        <v>7</v>
      </c>
      <c r="D601" s="3">
        <v>1.75</v>
      </c>
      <c r="E601" s="3">
        <f>+VLOOKUP(A601,'[1]Reporte Canjes Meals'!$A:$K,10,0)</f>
        <v>6</v>
      </c>
      <c r="F601" s="3">
        <f t="shared" si="18"/>
        <v>1.5</v>
      </c>
      <c r="G601" s="3">
        <f t="shared" si="19"/>
        <v>0.25</v>
      </c>
    </row>
    <row r="602" spans="1:7" x14ac:dyDescent="0.25">
      <c r="A602" s="3">
        <v>14262667</v>
      </c>
      <c r="B602" s="3">
        <v>1.9E-2</v>
      </c>
      <c r="C602" s="3">
        <v>1</v>
      </c>
      <c r="D602" s="3">
        <v>0.25</v>
      </c>
      <c r="E602" s="3">
        <f>+VLOOKUP(A602,'[1]Reporte Canjes Meals'!$A:$K,10,0)</f>
        <v>0</v>
      </c>
      <c r="F602" s="3">
        <f t="shared" si="18"/>
        <v>0</v>
      </c>
      <c r="G602" s="3">
        <f t="shared" si="19"/>
        <v>0.25</v>
      </c>
    </row>
    <row r="603" spans="1:7" x14ac:dyDescent="0.25">
      <c r="A603" s="3">
        <v>14265744</v>
      </c>
      <c r="B603" s="3">
        <v>0.14899999999999999</v>
      </c>
      <c r="C603" s="3">
        <v>8</v>
      </c>
      <c r="D603" s="3">
        <v>2</v>
      </c>
      <c r="E603" s="3">
        <f>+VLOOKUP(A603,'[1]Reporte Canjes Meals'!$A:$K,10,0)</f>
        <v>8</v>
      </c>
      <c r="F603" s="3">
        <f t="shared" si="18"/>
        <v>2</v>
      </c>
      <c r="G603" s="3">
        <f t="shared" si="19"/>
        <v>0</v>
      </c>
    </row>
    <row r="604" spans="1:7" x14ac:dyDescent="0.25">
      <c r="A604" s="3">
        <v>14266892</v>
      </c>
      <c r="B604" s="3">
        <v>1.9E-2</v>
      </c>
      <c r="C604" s="3">
        <v>1</v>
      </c>
      <c r="D604" s="3">
        <v>0.25</v>
      </c>
      <c r="E604" s="3">
        <f>+VLOOKUP(A604,'[1]Reporte Canjes Meals'!$A:$K,10,0)</f>
        <v>1</v>
      </c>
      <c r="F604" s="3">
        <f t="shared" si="18"/>
        <v>0.25</v>
      </c>
      <c r="G604" s="3">
        <f t="shared" si="19"/>
        <v>0</v>
      </c>
    </row>
    <row r="605" spans="1:7" x14ac:dyDescent="0.25">
      <c r="A605" s="3">
        <v>14268181</v>
      </c>
      <c r="B605" s="3">
        <v>0.42899999999999999</v>
      </c>
      <c r="C605" s="3">
        <v>23</v>
      </c>
      <c r="D605" s="3">
        <v>5.75</v>
      </c>
      <c r="E605" s="3">
        <f>+VLOOKUP(A605,'[1]Reporte Canjes Meals'!$A:$K,10,0)</f>
        <v>10</v>
      </c>
      <c r="F605" s="3">
        <f t="shared" si="18"/>
        <v>2.5</v>
      </c>
      <c r="G605" s="3">
        <f t="shared" si="19"/>
        <v>3.25</v>
      </c>
    </row>
    <row r="606" spans="1:7" x14ac:dyDescent="0.25">
      <c r="A606" s="3">
        <v>14271082</v>
      </c>
      <c r="B606" s="3">
        <v>3.6999999999999998E-2</v>
      </c>
      <c r="C606" s="3">
        <v>2</v>
      </c>
      <c r="D606" s="3">
        <v>0.5</v>
      </c>
      <c r="E606" s="3">
        <f>+VLOOKUP(A606,'[1]Reporte Canjes Meals'!$A:$K,10,0)</f>
        <v>0</v>
      </c>
      <c r="F606" s="3">
        <f t="shared" si="18"/>
        <v>0</v>
      </c>
      <c r="G606" s="3">
        <f t="shared" si="19"/>
        <v>0.5</v>
      </c>
    </row>
    <row r="607" spans="1:7" x14ac:dyDescent="0.25">
      <c r="A607" s="3">
        <v>14274363</v>
      </c>
      <c r="B607" s="3">
        <v>0.112</v>
      </c>
      <c r="C607" s="3">
        <v>6</v>
      </c>
      <c r="D607" s="3">
        <v>1.5</v>
      </c>
      <c r="E607" s="3">
        <f>+VLOOKUP(A607,'[1]Reporte Canjes Meals'!$A:$K,10,0)</f>
        <v>0</v>
      </c>
      <c r="F607" s="3">
        <f t="shared" si="18"/>
        <v>0</v>
      </c>
      <c r="G607" s="3">
        <f t="shared" si="19"/>
        <v>1.5</v>
      </c>
    </row>
    <row r="608" spans="1:7" x14ac:dyDescent="0.25">
      <c r="A608" s="3">
        <v>14283338</v>
      </c>
      <c r="B608" s="3">
        <v>0.52100000000000002</v>
      </c>
      <c r="C608" s="3">
        <v>28</v>
      </c>
      <c r="D608" s="3">
        <v>7</v>
      </c>
      <c r="E608" s="3">
        <f>+VLOOKUP(A608,'[1]Reporte Canjes Meals'!$A:$K,10,0)</f>
        <v>0</v>
      </c>
      <c r="F608" s="3">
        <f t="shared" si="18"/>
        <v>0</v>
      </c>
      <c r="G608" s="3">
        <f t="shared" si="19"/>
        <v>7</v>
      </c>
    </row>
    <row r="609" spans="1:7" x14ac:dyDescent="0.25">
      <c r="A609" s="3">
        <v>14283343</v>
      </c>
      <c r="B609" s="3">
        <v>7.3999999999999996E-2</v>
      </c>
      <c r="C609" s="3">
        <v>4</v>
      </c>
      <c r="D609" s="3">
        <v>1</v>
      </c>
      <c r="E609" s="3">
        <f>+VLOOKUP(A609,'[1]Reporte Canjes Meals'!$A:$K,10,0)</f>
        <v>4</v>
      </c>
      <c r="F609" s="3">
        <f t="shared" si="18"/>
        <v>1</v>
      </c>
      <c r="G609" s="3">
        <f t="shared" si="19"/>
        <v>0</v>
      </c>
    </row>
    <row r="610" spans="1:7" x14ac:dyDescent="0.25">
      <c r="A610" s="3">
        <v>14283390</v>
      </c>
      <c r="B610" s="3">
        <v>0.39</v>
      </c>
      <c r="C610" s="3">
        <v>21</v>
      </c>
      <c r="D610" s="3">
        <v>5.25</v>
      </c>
      <c r="E610" s="3">
        <f>+VLOOKUP(A610,'[1]Reporte Canjes Meals'!$A:$K,10,0)</f>
        <v>17</v>
      </c>
      <c r="F610" s="3">
        <f t="shared" si="18"/>
        <v>4.25</v>
      </c>
      <c r="G610" s="3">
        <f t="shared" si="19"/>
        <v>1</v>
      </c>
    </row>
    <row r="611" spans="1:7" x14ac:dyDescent="0.25">
      <c r="A611" s="3">
        <v>14283729</v>
      </c>
      <c r="B611" s="3">
        <v>1.9E-2</v>
      </c>
      <c r="C611" s="3">
        <v>1</v>
      </c>
      <c r="D611" s="3">
        <v>0.25</v>
      </c>
      <c r="E611" s="3">
        <f>+VLOOKUP(A611,'[1]Reporte Canjes Meals'!$A:$K,10,0)</f>
        <v>0</v>
      </c>
      <c r="F611" s="3">
        <f t="shared" si="18"/>
        <v>0</v>
      </c>
      <c r="G611" s="3">
        <f t="shared" si="19"/>
        <v>0.25</v>
      </c>
    </row>
    <row r="612" spans="1:7" x14ac:dyDescent="0.25">
      <c r="A612" s="3">
        <v>14285060</v>
      </c>
      <c r="B612" s="3">
        <v>0.112</v>
      </c>
      <c r="C612" s="3">
        <v>6</v>
      </c>
      <c r="D612" s="3">
        <v>1.5</v>
      </c>
      <c r="E612" s="3">
        <f>+VLOOKUP(A612,'[1]Reporte Canjes Meals'!$A:$K,10,0)</f>
        <v>6</v>
      </c>
      <c r="F612" s="3">
        <f t="shared" si="18"/>
        <v>1.5</v>
      </c>
      <c r="G612" s="3">
        <f t="shared" si="19"/>
        <v>0</v>
      </c>
    </row>
    <row r="613" spans="1:7" x14ac:dyDescent="0.25">
      <c r="A613" s="3">
        <v>14285682</v>
      </c>
      <c r="B613" s="3">
        <v>1.266</v>
      </c>
      <c r="C613" s="3">
        <v>68</v>
      </c>
      <c r="D613" s="3">
        <v>17</v>
      </c>
      <c r="E613" s="3">
        <f>+VLOOKUP(A613,'[1]Reporte Canjes Meals'!$A:$K,10,0)</f>
        <v>20</v>
      </c>
      <c r="F613" s="3">
        <f t="shared" si="18"/>
        <v>5</v>
      </c>
      <c r="G613" s="3">
        <f t="shared" si="19"/>
        <v>12</v>
      </c>
    </row>
    <row r="614" spans="1:7" x14ac:dyDescent="0.25">
      <c r="A614" s="3">
        <v>14286276</v>
      </c>
      <c r="B614" s="3">
        <v>7.3999999999999996E-2</v>
      </c>
      <c r="C614" s="3">
        <v>4</v>
      </c>
      <c r="D614" s="3">
        <v>1</v>
      </c>
      <c r="E614" s="3">
        <f>+VLOOKUP(A614,'[1]Reporte Canjes Meals'!$A:$K,10,0)</f>
        <v>0</v>
      </c>
      <c r="F614" s="3">
        <f t="shared" si="18"/>
        <v>0</v>
      </c>
      <c r="G614" s="3">
        <f t="shared" si="19"/>
        <v>1</v>
      </c>
    </row>
    <row r="615" spans="1:7" x14ac:dyDescent="0.25">
      <c r="A615" s="3">
        <v>14289820</v>
      </c>
      <c r="B615" s="3">
        <v>0.78100000000000003</v>
      </c>
      <c r="C615" s="3">
        <v>42</v>
      </c>
      <c r="D615" s="3">
        <v>10.5</v>
      </c>
      <c r="E615" s="3">
        <f>+VLOOKUP(A615,'[1]Reporte Canjes Meals'!$A:$K,10,0)</f>
        <v>0</v>
      </c>
      <c r="F615" s="3">
        <f t="shared" si="18"/>
        <v>0</v>
      </c>
      <c r="G615" s="3">
        <f t="shared" si="19"/>
        <v>10.5</v>
      </c>
    </row>
    <row r="616" spans="1:7" x14ac:dyDescent="0.25">
      <c r="A616" s="3">
        <v>14291775</v>
      </c>
      <c r="B616" s="3">
        <v>0.192</v>
      </c>
      <c r="C616" s="3">
        <v>9</v>
      </c>
      <c r="D616" s="3">
        <v>2.25</v>
      </c>
      <c r="E616" s="3">
        <f>+VLOOKUP(A616,'[1]Reporte Canjes Meals'!$A:$K,10,0)</f>
        <v>0</v>
      </c>
      <c r="F616" s="3">
        <f t="shared" si="18"/>
        <v>0</v>
      </c>
      <c r="G616" s="3">
        <f t="shared" si="19"/>
        <v>2.25</v>
      </c>
    </row>
    <row r="617" spans="1:7" x14ac:dyDescent="0.25">
      <c r="A617" s="3">
        <v>14293368</v>
      </c>
      <c r="B617" s="3">
        <v>0.14799999999999999</v>
      </c>
      <c r="C617" s="3">
        <v>8</v>
      </c>
      <c r="D617" s="3">
        <v>2</v>
      </c>
      <c r="E617" s="3">
        <f>+VLOOKUP(A617,'[1]Reporte Canjes Meals'!$A:$K,10,0)</f>
        <v>0</v>
      </c>
      <c r="F617" s="3">
        <f t="shared" si="18"/>
        <v>0</v>
      </c>
      <c r="G617" s="3">
        <f t="shared" si="19"/>
        <v>2</v>
      </c>
    </row>
    <row r="618" spans="1:7" x14ac:dyDescent="0.25">
      <c r="A618" s="3">
        <v>14293640</v>
      </c>
      <c r="B618" s="3">
        <v>7.3999999999999996E-2</v>
      </c>
      <c r="C618" s="3">
        <v>4</v>
      </c>
      <c r="D618" s="3">
        <v>1</v>
      </c>
      <c r="E618" s="3">
        <f>+VLOOKUP(A618,'[1]Reporte Canjes Meals'!$A:$K,10,0)</f>
        <v>0</v>
      </c>
      <c r="F618" s="3">
        <f t="shared" si="18"/>
        <v>0</v>
      </c>
      <c r="G618" s="3">
        <f t="shared" si="19"/>
        <v>1</v>
      </c>
    </row>
    <row r="619" spans="1:7" x14ac:dyDescent="0.25">
      <c r="A619" s="3">
        <v>14293642</v>
      </c>
      <c r="B619" s="3">
        <v>0.29799999999999999</v>
      </c>
      <c r="C619" s="3">
        <v>16</v>
      </c>
      <c r="D619" s="3">
        <v>4</v>
      </c>
      <c r="E619" s="3">
        <f>+VLOOKUP(A619,'[1]Reporte Canjes Meals'!$A:$K,10,0)</f>
        <v>0</v>
      </c>
      <c r="F619" s="3">
        <f t="shared" si="18"/>
        <v>0</v>
      </c>
      <c r="G619" s="3">
        <f t="shared" si="19"/>
        <v>4</v>
      </c>
    </row>
    <row r="620" spans="1:7" x14ac:dyDescent="0.25">
      <c r="A620" s="3">
        <v>14293947</v>
      </c>
      <c r="B620" s="3">
        <v>0.111</v>
      </c>
      <c r="C620" s="3">
        <v>6</v>
      </c>
      <c r="D620" s="3">
        <v>1.5</v>
      </c>
      <c r="E620" s="3">
        <f>+VLOOKUP(A620,'[1]Reporte Canjes Meals'!$A:$K,10,0)</f>
        <v>0</v>
      </c>
      <c r="F620" s="3">
        <f t="shared" si="18"/>
        <v>0</v>
      </c>
      <c r="G620" s="3">
        <f t="shared" si="19"/>
        <v>1.5</v>
      </c>
    </row>
    <row r="621" spans="1:7" x14ac:dyDescent="0.25">
      <c r="A621" s="3">
        <v>14294916</v>
      </c>
      <c r="B621" s="3">
        <v>0.26100000000000001</v>
      </c>
      <c r="C621" s="3">
        <v>14</v>
      </c>
      <c r="D621" s="3">
        <v>3.5</v>
      </c>
      <c r="E621" s="3">
        <f>+VLOOKUP(A621,'[1]Reporte Canjes Meals'!$A:$K,10,0)</f>
        <v>11</v>
      </c>
      <c r="F621" s="3">
        <f t="shared" si="18"/>
        <v>2.75</v>
      </c>
      <c r="G621" s="3">
        <f t="shared" si="19"/>
        <v>0.75</v>
      </c>
    </row>
    <row r="622" spans="1:7" x14ac:dyDescent="0.25">
      <c r="A622" s="3">
        <v>14294963</v>
      </c>
      <c r="B622" s="3">
        <v>0.112</v>
      </c>
      <c r="C622" s="3">
        <v>6</v>
      </c>
      <c r="D622" s="3">
        <v>1.5</v>
      </c>
      <c r="E622" s="3">
        <f>+VLOOKUP(A622,'[1]Reporte Canjes Meals'!$A:$K,10,0)</f>
        <v>0</v>
      </c>
      <c r="F622" s="3">
        <f t="shared" si="18"/>
        <v>0</v>
      </c>
      <c r="G622" s="3">
        <f t="shared" si="19"/>
        <v>1.5</v>
      </c>
    </row>
    <row r="623" spans="1:7" x14ac:dyDescent="0.25">
      <c r="A623" s="3">
        <v>14296432</v>
      </c>
      <c r="B623" s="3">
        <v>0.35399999999999998</v>
      </c>
      <c r="C623" s="3">
        <v>19</v>
      </c>
      <c r="D623" s="3">
        <v>4.75</v>
      </c>
      <c r="E623" s="3">
        <f>+VLOOKUP(A623,'[1]Reporte Canjes Meals'!$A:$K,10,0)</f>
        <v>10</v>
      </c>
      <c r="F623" s="3">
        <f t="shared" si="18"/>
        <v>2.5</v>
      </c>
      <c r="G623" s="3">
        <f t="shared" si="19"/>
        <v>2.25</v>
      </c>
    </row>
    <row r="624" spans="1:7" x14ac:dyDescent="0.25">
      <c r="A624" s="3">
        <v>14297001</v>
      </c>
      <c r="B624" s="3">
        <v>0.223</v>
      </c>
      <c r="C624" s="3">
        <v>12</v>
      </c>
      <c r="D624" s="3">
        <v>3</v>
      </c>
      <c r="E624" s="3">
        <f>+VLOOKUP(A624,'[1]Reporte Canjes Meals'!$A:$K,10,0)</f>
        <v>0</v>
      </c>
      <c r="F624" s="3">
        <f t="shared" si="18"/>
        <v>0</v>
      </c>
      <c r="G624" s="3">
        <f t="shared" si="19"/>
        <v>3</v>
      </c>
    </row>
    <row r="625" spans="1:7" x14ac:dyDescent="0.25">
      <c r="A625" s="3">
        <v>14298012</v>
      </c>
      <c r="B625" s="3">
        <v>1.9E-2</v>
      </c>
      <c r="C625" s="3">
        <v>1</v>
      </c>
      <c r="D625" s="3">
        <v>0.25</v>
      </c>
      <c r="E625" s="3">
        <f>+VLOOKUP(A625,'[1]Reporte Canjes Meals'!$A:$K,10,0)</f>
        <v>0</v>
      </c>
      <c r="F625" s="3">
        <f t="shared" si="18"/>
        <v>0</v>
      </c>
      <c r="G625" s="3">
        <f t="shared" si="19"/>
        <v>0.25</v>
      </c>
    </row>
    <row r="626" spans="1:7" x14ac:dyDescent="0.25">
      <c r="A626" s="3">
        <v>14298071</v>
      </c>
      <c r="B626" s="3">
        <v>0.14799999999999999</v>
      </c>
      <c r="C626" s="3">
        <v>8</v>
      </c>
      <c r="D626" s="3">
        <v>2</v>
      </c>
      <c r="E626" s="3">
        <f>+VLOOKUP(A626,'[1]Reporte Canjes Meals'!$A:$K,10,0)</f>
        <v>0</v>
      </c>
      <c r="F626" s="3">
        <f t="shared" si="18"/>
        <v>0</v>
      </c>
      <c r="G626" s="3">
        <f t="shared" si="19"/>
        <v>2</v>
      </c>
    </row>
    <row r="627" spans="1:7" x14ac:dyDescent="0.25">
      <c r="A627" s="3">
        <v>14298102</v>
      </c>
      <c r="B627" s="3">
        <v>0.95099999999999996</v>
      </c>
      <c r="C627" s="3">
        <v>51</v>
      </c>
      <c r="D627" s="3">
        <v>12.75</v>
      </c>
      <c r="E627" s="3">
        <f>+VLOOKUP(A627,'[1]Reporte Canjes Meals'!$A:$K,10,0)</f>
        <v>0</v>
      </c>
      <c r="F627" s="3">
        <f t="shared" si="18"/>
        <v>0</v>
      </c>
      <c r="G627" s="3">
        <f t="shared" si="19"/>
        <v>12.75</v>
      </c>
    </row>
    <row r="628" spans="1:7" x14ac:dyDescent="0.25">
      <c r="A628" s="3">
        <v>14298103</v>
      </c>
      <c r="B628" s="3">
        <v>7.3999999999999996E-2</v>
      </c>
      <c r="C628" s="3">
        <v>4</v>
      </c>
      <c r="D628" s="3">
        <v>1</v>
      </c>
      <c r="E628" s="3">
        <f>+VLOOKUP(A628,'[1]Reporte Canjes Meals'!$A:$K,10,0)</f>
        <v>4</v>
      </c>
      <c r="F628" s="3">
        <f t="shared" si="18"/>
        <v>1</v>
      </c>
      <c r="G628" s="3">
        <f t="shared" si="19"/>
        <v>0</v>
      </c>
    </row>
    <row r="629" spans="1:7" x14ac:dyDescent="0.25">
      <c r="A629" s="3">
        <v>14300849</v>
      </c>
      <c r="B629" s="3">
        <v>7.3999999999999996E-2</v>
      </c>
      <c r="C629" s="3">
        <v>4</v>
      </c>
      <c r="D629" s="3">
        <v>1</v>
      </c>
      <c r="E629" s="3">
        <f>+VLOOKUP(A629,'[1]Reporte Canjes Meals'!$A:$K,10,0)</f>
        <v>0</v>
      </c>
      <c r="F629" s="3">
        <f t="shared" si="18"/>
        <v>0</v>
      </c>
      <c r="G629" s="3">
        <f t="shared" si="19"/>
        <v>1</v>
      </c>
    </row>
    <row r="630" spans="1:7" x14ac:dyDescent="0.25">
      <c r="A630" s="3">
        <v>14300851</v>
      </c>
      <c r="B630" s="3">
        <v>3.6999999999999998E-2</v>
      </c>
      <c r="C630" s="3">
        <v>2</v>
      </c>
      <c r="D630" s="3">
        <v>0.5</v>
      </c>
      <c r="E630" s="3">
        <f>+VLOOKUP(A630,'[1]Reporte Canjes Meals'!$A:$K,10,0)</f>
        <v>2</v>
      </c>
      <c r="F630" s="3">
        <f t="shared" si="18"/>
        <v>0.5</v>
      </c>
      <c r="G630" s="3">
        <f t="shared" si="19"/>
        <v>0</v>
      </c>
    </row>
    <row r="631" spans="1:7" x14ac:dyDescent="0.25">
      <c r="A631" s="3">
        <v>14303052</v>
      </c>
      <c r="B631" s="3">
        <v>3.6999999999999998E-2</v>
      </c>
      <c r="C631" s="3">
        <v>2</v>
      </c>
      <c r="D631" s="3">
        <v>0.5</v>
      </c>
      <c r="E631" s="3">
        <f>+VLOOKUP(A631,'[1]Reporte Canjes Meals'!$A:$K,10,0)</f>
        <v>0</v>
      </c>
      <c r="F631" s="3">
        <f t="shared" si="18"/>
        <v>0</v>
      </c>
      <c r="G631" s="3">
        <f t="shared" si="19"/>
        <v>0.5</v>
      </c>
    </row>
    <row r="632" spans="1:7" x14ac:dyDescent="0.25">
      <c r="A632" s="3">
        <v>14309077</v>
      </c>
      <c r="B632" s="3">
        <v>0.14799999999999999</v>
      </c>
      <c r="C632" s="3">
        <v>8</v>
      </c>
      <c r="D632" s="3">
        <v>2</v>
      </c>
      <c r="E632" s="3">
        <f>+VLOOKUP(A632,'[1]Reporte Canjes Meals'!$A:$K,10,0)</f>
        <v>0</v>
      </c>
      <c r="F632" s="3">
        <f t="shared" si="18"/>
        <v>0</v>
      </c>
      <c r="G632" s="3">
        <f t="shared" si="19"/>
        <v>2</v>
      </c>
    </row>
    <row r="633" spans="1:7" x14ac:dyDescent="0.25">
      <c r="A633" s="3">
        <v>14312172</v>
      </c>
      <c r="B633" s="3">
        <v>0.61299999999999999</v>
      </c>
      <c r="C633" s="3">
        <v>33</v>
      </c>
      <c r="D633" s="3">
        <v>8.25</v>
      </c>
      <c r="E633" s="3">
        <f>+VLOOKUP(A633,'[1]Reporte Canjes Meals'!$A:$K,10,0)</f>
        <v>23</v>
      </c>
      <c r="F633" s="3">
        <f t="shared" si="18"/>
        <v>5.75</v>
      </c>
      <c r="G633" s="3">
        <f t="shared" si="19"/>
        <v>2.5</v>
      </c>
    </row>
    <row r="634" spans="1:7" x14ac:dyDescent="0.25">
      <c r="A634" s="3">
        <v>14312174</v>
      </c>
      <c r="B634" s="3">
        <v>1.9E-2</v>
      </c>
      <c r="C634" s="3">
        <v>1</v>
      </c>
      <c r="D634" s="3">
        <v>0.25</v>
      </c>
      <c r="E634" s="3">
        <f>+VLOOKUP(A634,'[1]Reporte Canjes Meals'!$A:$K,10,0)</f>
        <v>0</v>
      </c>
      <c r="F634" s="3">
        <f t="shared" si="18"/>
        <v>0</v>
      </c>
      <c r="G634" s="3">
        <f t="shared" si="19"/>
        <v>0.25</v>
      </c>
    </row>
    <row r="635" spans="1:7" x14ac:dyDescent="0.25">
      <c r="A635" s="3">
        <v>14312177</v>
      </c>
      <c r="B635" s="3">
        <v>5.6000000000000001E-2</v>
      </c>
      <c r="C635" s="3">
        <v>3</v>
      </c>
      <c r="D635" s="3">
        <v>0.75</v>
      </c>
      <c r="E635" s="3">
        <f>+VLOOKUP(A635,'[1]Reporte Canjes Meals'!$A:$K,10,0)</f>
        <v>3</v>
      </c>
      <c r="F635" s="3">
        <f t="shared" si="18"/>
        <v>0.75</v>
      </c>
      <c r="G635" s="3">
        <f t="shared" si="19"/>
        <v>0</v>
      </c>
    </row>
    <row r="636" spans="1:7" x14ac:dyDescent="0.25">
      <c r="A636" s="3">
        <v>14312182</v>
      </c>
      <c r="B636" s="3">
        <v>7.3999999999999996E-2</v>
      </c>
      <c r="C636" s="3">
        <v>4</v>
      </c>
      <c r="D636" s="3">
        <v>1</v>
      </c>
      <c r="E636" s="3">
        <f>+VLOOKUP(A636,'[1]Reporte Canjes Meals'!$A:$K,10,0)</f>
        <v>0</v>
      </c>
      <c r="F636" s="3">
        <f t="shared" si="18"/>
        <v>0</v>
      </c>
      <c r="G636" s="3">
        <f t="shared" si="19"/>
        <v>1</v>
      </c>
    </row>
    <row r="637" spans="1:7" x14ac:dyDescent="0.25">
      <c r="A637" s="3">
        <v>14313700</v>
      </c>
      <c r="B637" s="3">
        <v>0.13</v>
      </c>
      <c r="C637" s="3">
        <v>7</v>
      </c>
      <c r="D637" s="3">
        <v>1.75</v>
      </c>
      <c r="E637" s="3">
        <f>+VLOOKUP(A637,'[1]Reporte Canjes Meals'!$A:$K,10,0)</f>
        <v>7</v>
      </c>
      <c r="F637" s="3">
        <f t="shared" si="18"/>
        <v>1.75</v>
      </c>
      <c r="G637" s="3">
        <f t="shared" si="19"/>
        <v>0</v>
      </c>
    </row>
    <row r="638" spans="1:7" x14ac:dyDescent="0.25">
      <c r="A638" s="3">
        <v>14314049</v>
      </c>
      <c r="B638" s="3">
        <v>1.9E-2</v>
      </c>
      <c r="C638" s="3">
        <v>1</v>
      </c>
      <c r="D638" s="3">
        <v>0.25</v>
      </c>
      <c r="E638" s="3">
        <f>+VLOOKUP(A638,'[1]Reporte Canjes Meals'!$A:$K,10,0)</f>
        <v>0</v>
      </c>
      <c r="F638" s="3">
        <f t="shared" si="18"/>
        <v>0</v>
      </c>
      <c r="G638" s="3">
        <f t="shared" si="19"/>
        <v>0.25</v>
      </c>
    </row>
    <row r="639" spans="1:7" x14ac:dyDescent="0.25">
      <c r="A639" s="3">
        <v>14317177</v>
      </c>
      <c r="B639" s="3">
        <v>0.16700000000000001</v>
      </c>
      <c r="C639" s="3">
        <v>9</v>
      </c>
      <c r="D639" s="3">
        <v>2.25</v>
      </c>
      <c r="E639" s="3">
        <f>+VLOOKUP(A639,'[1]Reporte Canjes Meals'!$A:$K,10,0)</f>
        <v>9</v>
      </c>
      <c r="F639" s="3">
        <f t="shared" si="18"/>
        <v>2.25</v>
      </c>
      <c r="G639" s="3">
        <f t="shared" si="19"/>
        <v>0</v>
      </c>
    </row>
    <row r="640" spans="1:7" x14ac:dyDescent="0.25">
      <c r="A640" s="3">
        <v>14317187</v>
      </c>
      <c r="B640" s="3">
        <v>0.59499999999999997</v>
      </c>
      <c r="C640" s="3">
        <v>32</v>
      </c>
      <c r="D640" s="3">
        <v>8</v>
      </c>
      <c r="E640" s="3">
        <f>+VLOOKUP(A640,'[1]Reporte Canjes Meals'!$A:$K,10,0)</f>
        <v>28</v>
      </c>
      <c r="F640" s="3">
        <f t="shared" si="18"/>
        <v>7</v>
      </c>
      <c r="G640" s="3">
        <f t="shared" si="19"/>
        <v>1</v>
      </c>
    </row>
    <row r="641" spans="1:7" x14ac:dyDescent="0.25">
      <c r="A641" s="3">
        <v>14318734</v>
      </c>
      <c r="B641" s="3">
        <v>7.4999999999999997E-2</v>
      </c>
      <c r="C641" s="3">
        <v>4</v>
      </c>
      <c r="D641" s="3">
        <v>1</v>
      </c>
      <c r="E641" s="3">
        <f>+VLOOKUP(A641,'[1]Reporte Canjes Meals'!$A:$K,10,0)</f>
        <v>6</v>
      </c>
      <c r="F641" s="3">
        <f t="shared" si="18"/>
        <v>1.5</v>
      </c>
      <c r="G641" s="3">
        <f t="shared" si="19"/>
        <v>-0.5</v>
      </c>
    </row>
    <row r="642" spans="1:7" x14ac:dyDescent="0.25">
      <c r="A642" s="3">
        <v>14318737</v>
      </c>
      <c r="B642" s="3">
        <v>0.14799999999999999</v>
      </c>
      <c r="C642" s="3">
        <v>8</v>
      </c>
      <c r="D642" s="3">
        <v>2</v>
      </c>
      <c r="E642" s="3">
        <f>+VLOOKUP(A642,'[1]Reporte Canjes Meals'!$A:$K,10,0)</f>
        <v>0</v>
      </c>
      <c r="F642" s="3">
        <f t="shared" si="18"/>
        <v>0</v>
      </c>
      <c r="G642" s="3">
        <f t="shared" si="19"/>
        <v>2</v>
      </c>
    </row>
    <row r="643" spans="1:7" x14ac:dyDescent="0.25">
      <c r="A643" s="3">
        <v>14318754</v>
      </c>
      <c r="B643" s="3">
        <v>0.59399999999999997</v>
      </c>
      <c r="C643" s="3">
        <v>32</v>
      </c>
      <c r="D643" s="3">
        <v>8</v>
      </c>
      <c r="E643" s="3">
        <f>+VLOOKUP(A643,'[1]Reporte Canjes Meals'!$A:$K,10,0)</f>
        <v>18</v>
      </c>
      <c r="F643" s="3">
        <f t="shared" ref="F643:F706" si="20">+E643/4</f>
        <v>4.5</v>
      </c>
      <c r="G643" s="3">
        <f t="shared" ref="G643:G706" si="21">+D643-F643</f>
        <v>3.5</v>
      </c>
    </row>
    <row r="644" spans="1:7" x14ac:dyDescent="0.25">
      <c r="A644" s="3">
        <v>14321051</v>
      </c>
      <c r="B644" s="3">
        <v>-0.16700000000000001</v>
      </c>
      <c r="C644" s="3">
        <v>-9</v>
      </c>
      <c r="D644" s="3">
        <v>-2.25</v>
      </c>
      <c r="E644" s="3">
        <f>+VLOOKUP(A644,'[1]Reporte Canjes Meals'!$A:$K,10,0)</f>
        <v>1</v>
      </c>
      <c r="F644" s="3">
        <f t="shared" si="20"/>
        <v>0.25</v>
      </c>
      <c r="G644" s="3">
        <f t="shared" si="21"/>
        <v>-2.5</v>
      </c>
    </row>
    <row r="645" spans="1:7" x14ac:dyDescent="0.25">
      <c r="A645" s="3">
        <v>14322960</v>
      </c>
      <c r="B645" s="3">
        <v>0.14899999999999999</v>
      </c>
      <c r="C645" s="3">
        <v>8</v>
      </c>
      <c r="D645" s="3">
        <v>2</v>
      </c>
      <c r="E645" s="3">
        <f>+VLOOKUP(A645,'[1]Reporte Canjes Meals'!$A:$K,10,0)</f>
        <v>0</v>
      </c>
      <c r="F645" s="3">
        <f t="shared" si="20"/>
        <v>0</v>
      </c>
      <c r="G645" s="3">
        <f t="shared" si="21"/>
        <v>2</v>
      </c>
    </row>
    <row r="646" spans="1:7" x14ac:dyDescent="0.25">
      <c r="A646" s="3">
        <v>14323642</v>
      </c>
      <c r="B646" s="3">
        <v>0.16800000000000001</v>
      </c>
      <c r="C646" s="3">
        <v>9</v>
      </c>
      <c r="D646" s="3">
        <v>2.25</v>
      </c>
      <c r="E646" s="3">
        <f>+VLOOKUP(A646,'[1]Reporte Canjes Meals'!$A:$K,10,0)</f>
        <v>1</v>
      </c>
      <c r="F646" s="3">
        <f t="shared" si="20"/>
        <v>0.25</v>
      </c>
      <c r="G646" s="3">
        <f t="shared" si="21"/>
        <v>2</v>
      </c>
    </row>
    <row r="647" spans="1:7" x14ac:dyDescent="0.25">
      <c r="A647" s="3">
        <v>14323711</v>
      </c>
      <c r="B647" s="3">
        <v>7.3999999999999996E-2</v>
      </c>
      <c r="C647" s="3">
        <v>4</v>
      </c>
      <c r="D647" s="3">
        <v>1</v>
      </c>
      <c r="E647" s="3">
        <f>+VLOOKUP(A647,'[1]Reporte Canjes Meals'!$A:$K,10,0)</f>
        <v>0</v>
      </c>
      <c r="F647" s="3">
        <f t="shared" si="20"/>
        <v>0</v>
      </c>
      <c r="G647" s="3">
        <f t="shared" si="21"/>
        <v>1</v>
      </c>
    </row>
    <row r="648" spans="1:7" x14ac:dyDescent="0.25">
      <c r="A648" s="3">
        <v>14324021</v>
      </c>
      <c r="B648" s="3">
        <v>0.13100000000000001</v>
      </c>
      <c r="C648" s="3">
        <v>7</v>
      </c>
      <c r="D648" s="3">
        <v>1.75</v>
      </c>
      <c r="E648" s="3">
        <f>+VLOOKUP(A648,'[1]Reporte Canjes Meals'!$A:$K,10,0)</f>
        <v>1</v>
      </c>
      <c r="F648" s="3">
        <f t="shared" si="20"/>
        <v>0.25</v>
      </c>
      <c r="G648" s="3">
        <f t="shared" si="21"/>
        <v>1.5</v>
      </c>
    </row>
    <row r="649" spans="1:7" x14ac:dyDescent="0.25">
      <c r="A649" s="3">
        <v>14324081</v>
      </c>
      <c r="B649" s="3">
        <v>0.372</v>
      </c>
      <c r="C649" s="3">
        <v>20</v>
      </c>
      <c r="D649" s="3">
        <v>5</v>
      </c>
      <c r="E649" s="3">
        <f>+VLOOKUP(A649,'[1]Reporte Canjes Meals'!$A:$K,10,0)</f>
        <v>8</v>
      </c>
      <c r="F649" s="3">
        <f t="shared" si="20"/>
        <v>2</v>
      </c>
      <c r="G649" s="3">
        <f t="shared" si="21"/>
        <v>3</v>
      </c>
    </row>
    <row r="650" spans="1:7" x14ac:dyDescent="0.25">
      <c r="A650" s="3">
        <v>14325307</v>
      </c>
      <c r="B650" s="3">
        <v>0.14899999999999999</v>
      </c>
      <c r="C650" s="3">
        <v>8</v>
      </c>
      <c r="D650" s="3">
        <v>2</v>
      </c>
      <c r="E650" s="3">
        <f>+VLOOKUP(A650,'[1]Reporte Canjes Meals'!$A:$K,10,0)</f>
        <v>0</v>
      </c>
      <c r="F650" s="3">
        <f t="shared" si="20"/>
        <v>0</v>
      </c>
      <c r="G650" s="3">
        <f t="shared" si="21"/>
        <v>2</v>
      </c>
    </row>
    <row r="651" spans="1:7" x14ac:dyDescent="0.25">
      <c r="A651" s="3">
        <v>14325897</v>
      </c>
      <c r="B651" s="3">
        <v>0.59499999999999997</v>
      </c>
      <c r="C651" s="3">
        <v>32</v>
      </c>
      <c r="D651" s="3">
        <v>8</v>
      </c>
      <c r="E651" s="3">
        <f>+VLOOKUP(A651,'[1]Reporte Canjes Meals'!$A:$K,10,0)</f>
        <v>17</v>
      </c>
      <c r="F651" s="3">
        <f t="shared" si="20"/>
        <v>4.25</v>
      </c>
      <c r="G651" s="3">
        <f t="shared" si="21"/>
        <v>3.75</v>
      </c>
    </row>
    <row r="652" spans="1:7" x14ac:dyDescent="0.25">
      <c r="A652" s="3">
        <v>14330798</v>
      </c>
      <c r="B652" s="3">
        <v>0.74399999999999999</v>
      </c>
      <c r="C652" s="3">
        <v>40</v>
      </c>
      <c r="D652" s="3">
        <v>10</v>
      </c>
      <c r="E652" s="3">
        <f>+VLOOKUP(A652,'[1]Reporte Canjes Meals'!$A:$K,10,0)</f>
        <v>0</v>
      </c>
      <c r="F652" s="3">
        <f t="shared" si="20"/>
        <v>0</v>
      </c>
      <c r="G652" s="3">
        <f t="shared" si="21"/>
        <v>10</v>
      </c>
    </row>
    <row r="653" spans="1:7" x14ac:dyDescent="0.25">
      <c r="A653" s="3">
        <v>14330831</v>
      </c>
      <c r="B653" s="3">
        <v>0.16800000000000001</v>
      </c>
      <c r="C653" s="3">
        <v>9</v>
      </c>
      <c r="D653" s="3">
        <v>2.25</v>
      </c>
      <c r="E653" s="3">
        <f>+VLOOKUP(A653,'[1]Reporte Canjes Meals'!$A:$K,10,0)</f>
        <v>0</v>
      </c>
      <c r="F653" s="3">
        <f t="shared" si="20"/>
        <v>0</v>
      </c>
      <c r="G653" s="3">
        <f t="shared" si="21"/>
        <v>2.25</v>
      </c>
    </row>
    <row r="654" spans="1:7" x14ac:dyDescent="0.25">
      <c r="A654" s="3">
        <v>14335054</v>
      </c>
      <c r="B654" s="3">
        <v>1.9E-2</v>
      </c>
      <c r="C654" s="3">
        <v>1</v>
      </c>
      <c r="D654" s="3">
        <v>0.25</v>
      </c>
      <c r="E654" s="3">
        <f>+VLOOKUP(A654,'[1]Reporte Canjes Meals'!$A:$K,10,0)</f>
        <v>0</v>
      </c>
      <c r="F654" s="3">
        <f t="shared" si="20"/>
        <v>0</v>
      </c>
      <c r="G654" s="3">
        <f t="shared" si="21"/>
        <v>0.25</v>
      </c>
    </row>
    <row r="655" spans="1:7" x14ac:dyDescent="0.25">
      <c r="A655" s="3">
        <v>14336419</v>
      </c>
      <c r="B655" s="3">
        <v>0.223</v>
      </c>
      <c r="C655" s="3">
        <v>12</v>
      </c>
      <c r="D655" s="3">
        <v>3</v>
      </c>
      <c r="E655" s="3">
        <f>+VLOOKUP(A655,'[1]Reporte Canjes Meals'!$A:$K,10,0)</f>
        <v>4</v>
      </c>
      <c r="F655" s="3">
        <f t="shared" si="20"/>
        <v>1</v>
      </c>
      <c r="G655" s="3">
        <f t="shared" si="21"/>
        <v>2</v>
      </c>
    </row>
    <row r="656" spans="1:7" x14ac:dyDescent="0.25">
      <c r="A656" s="3">
        <v>14336422</v>
      </c>
      <c r="B656" s="3">
        <v>1.9E-2</v>
      </c>
      <c r="C656" s="3">
        <v>1</v>
      </c>
      <c r="D656" s="3">
        <v>0.25</v>
      </c>
      <c r="E656" s="3">
        <f>+VLOOKUP(A656,'[1]Reporte Canjes Meals'!$A:$K,10,0)</f>
        <v>0</v>
      </c>
      <c r="F656" s="3">
        <f t="shared" si="20"/>
        <v>0</v>
      </c>
      <c r="G656" s="3">
        <f t="shared" si="21"/>
        <v>0.25</v>
      </c>
    </row>
    <row r="657" spans="1:7" x14ac:dyDescent="0.25">
      <c r="A657" s="3">
        <v>14339305</v>
      </c>
      <c r="B657" s="3">
        <v>9.4E-2</v>
      </c>
      <c r="C657" s="3">
        <v>5</v>
      </c>
      <c r="D657" s="3">
        <v>1.25</v>
      </c>
      <c r="E657" s="3">
        <f>+VLOOKUP(A657,'[1]Reporte Canjes Meals'!$A:$K,10,0)</f>
        <v>1</v>
      </c>
      <c r="F657" s="3">
        <f t="shared" si="20"/>
        <v>0.25</v>
      </c>
      <c r="G657" s="3">
        <f t="shared" si="21"/>
        <v>1</v>
      </c>
    </row>
    <row r="658" spans="1:7" x14ac:dyDescent="0.25">
      <c r="A658" s="3">
        <v>14339322</v>
      </c>
      <c r="B658" s="3">
        <v>0.46500000000000002</v>
      </c>
      <c r="C658" s="3">
        <v>25</v>
      </c>
      <c r="D658" s="3">
        <v>6.25</v>
      </c>
      <c r="E658" s="3">
        <f>+VLOOKUP(A658,'[1]Reporte Canjes Meals'!$A:$K,10,0)</f>
        <v>25</v>
      </c>
      <c r="F658" s="3">
        <f t="shared" si="20"/>
        <v>6.25</v>
      </c>
      <c r="G658" s="3">
        <f t="shared" si="21"/>
        <v>0</v>
      </c>
    </row>
    <row r="659" spans="1:7" x14ac:dyDescent="0.25">
      <c r="A659" s="3">
        <v>14341228</v>
      </c>
      <c r="B659" s="3">
        <v>7.3999999999999996E-2</v>
      </c>
      <c r="C659" s="3">
        <v>4</v>
      </c>
      <c r="D659" s="3">
        <v>1</v>
      </c>
      <c r="E659" s="3">
        <f>+VLOOKUP(A659,'[1]Reporte Canjes Meals'!$A:$K,10,0)</f>
        <v>4</v>
      </c>
      <c r="F659" s="3">
        <f t="shared" si="20"/>
        <v>1</v>
      </c>
      <c r="G659" s="3">
        <f t="shared" si="21"/>
        <v>0</v>
      </c>
    </row>
    <row r="660" spans="1:7" x14ac:dyDescent="0.25">
      <c r="A660" s="3">
        <v>14342676</v>
      </c>
      <c r="B660" s="3">
        <v>0.76200000000000001</v>
      </c>
      <c r="C660" s="3">
        <v>41</v>
      </c>
      <c r="D660" s="3">
        <v>10.25</v>
      </c>
      <c r="E660" s="3">
        <f>+VLOOKUP(A660,'[1]Reporte Canjes Meals'!$A:$K,10,0)</f>
        <v>17</v>
      </c>
      <c r="F660" s="3">
        <f t="shared" si="20"/>
        <v>4.25</v>
      </c>
      <c r="G660" s="3">
        <f t="shared" si="21"/>
        <v>6</v>
      </c>
    </row>
    <row r="661" spans="1:7" x14ac:dyDescent="0.25">
      <c r="A661" s="3">
        <v>14344535</v>
      </c>
      <c r="B661" s="3">
        <v>0.27900000000000003</v>
      </c>
      <c r="C661" s="3">
        <v>15</v>
      </c>
      <c r="D661" s="3">
        <v>3.75</v>
      </c>
      <c r="E661" s="3">
        <f>+VLOOKUP(A661,'[1]Reporte Canjes Meals'!$A:$K,10,0)</f>
        <v>0</v>
      </c>
      <c r="F661" s="3">
        <f t="shared" si="20"/>
        <v>0</v>
      </c>
      <c r="G661" s="3">
        <f t="shared" si="21"/>
        <v>3.75</v>
      </c>
    </row>
    <row r="662" spans="1:7" x14ac:dyDescent="0.25">
      <c r="A662" s="3">
        <v>14347180</v>
      </c>
      <c r="B662" s="3">
        <v>0.14899999999999999</v>
      </c>
      <c r="C662" s="3">
        <v>8</v>
      </c>
      <c r="D662" s="3">
        <v>2</v>
      </c>
      <c r="E662" s="3">
        <f>+VLOOKUP(A662,'[1]Reporte Canjes Meals'!$A:$K,10,0)</f>
        <v>8</v>
      </c>
      <c r="F662" s="3">
        <f t="shared" si="20"/>
        <v>2</v>
      </c>
      <c r="G662" s="3">
        <f t="shared" si="21"/>
        <v>0</v>
      </c>
    </row>
    <row r="663" spans="1:7" x14ac:dyDescent="0.25">
      <c r="A663" s="3">
        <v>14349116</v>
      </c>
      <c r="B663" s="3">
        <v>0.192</v>
      </c>
      <c r="C663" s="3">
        <v>9</v>
      </c>
      <c r="D663" s="3">
        <v>2.25</v>
      </c>
      <c r="E663" s="3">
        <f>+VLOOKUP(A663,'[1]Reporte Canjes Meals'!$A:$K,10,0)</f>
        <v>0</v>
      </c>
      <c r="F663" s="3">
        <f t="shared" si="20"/>
        <v>0</v>
      </c>
      <c r="G663" s="3">
        <f t="shared" si="21"/>
        <v>2.25</v>
      </c>
    </row>
    <row r="664" spans="1:7" x14ac:dyDescent="0.25">
      <c r="A664" s="3">
        <v>14352506</v>
      </c>
      <c r="B664" s="3">
        <v>7.4999999999999997E-2</v>
      </c>
      <c r="C664" s="3">
        <v>4</v>
      </c>
      <c r="D664" s="3">
        <v>1</v>
      </c>
      <c r="E664" s="3">
        <f>+VLOOKUP(A664,'[1]Reporte Canjes Meals'!$A:$K,10,0)</f>
        <v>0</v>
      </c>
      <c r="F664" s="3">
        <f t="shared" si="20"/>
        <v>0</v>
      </c>
      <c r="G664" s="3">
        <f t="shared" si="21"/>
        <v>1</v>
      </c>
    </row>
    <row r="665" spans="1:7" x14ac:dyDescent="0.25">
      <c r="A665" s="3">
        <v>14354317</v>
      </c>
      <c r="B665" s="3">
        <v>7.3999999999999996E-2</v>
      </c>
      <c r="C665" s="3">
        <v>4</v>
      </c>
      <c r="D665" s="3">
        <v>1</v>
      </c>
      <c r="E665" s="3">
        <f>+VLOOKUP(A665,'[1]Reporte Canjes Meals'!$A:$K,10,0)</f>
        <v>0</v>
      </c>
      <c r="F665" s="3">
        <f t="shared" si="20"/>
        <v>0</v>
      </c>
      <c r="G665" s="3">
        <f t="shared" si="21"/>
        <v>1</v>
      </c>
    </row>
    <row r="666" spans="1:7" x14ac:dyDescent="0.25">
      <c r="A666" s="3">
        <v>14356623</v>
      </c>
      <c r="B666" s="3">
        <v>0.70799999999999996</v>
      </c>
      <c r="C666" s="3">
        <v>38</v>
      </c>
      <c r="D666" s="3">
        <v>9.5</v>
      </c>
      <c r="E666" s="3">
        <f>+VLOOKUP(A666,'[1]Reporte Canjes Meals'!$A:$K,10,0)</f>
        <v>30</v>
      </c>
      <c r="F666" s="3">
        <f t="shared" si="20"/>
        <v>7.5</v>
      </c>
      <c r="G666" s="3">
        <f t="shared" si="21"/>
        <v>2</v>
      </c>
    </row>
    <row r="667" spans="1:7" x14ac:dyDescent="0.25">
      <c r="A667" s="3">
        <v>14356865</v>
      </c>
      <c r="B667" s="3">
        <v>0.14899999999999999</v>
      </c>
      <c r="C667" s="3">
        <v>8</v>
      </c>
      <c r="D667" s="3">
        <v>2</v>
      </c>
      <c r="E667" s="3">
        <f>+VLOOKUP(A667,'[1]Reporte Canjes Meals'!$A:$K,10,0)</f>
        <v>0</v>
      </c>
      <c r="F667" s="3">
        <f t="shared" si="20"/>
        <v>0</v>
      </c>
      <c r="G667" s="3">
        <f t="shared" si="21"/>
        <v>2</v>
      </c>
    </row>
    <row r="668" spans="1:7" x14ac:dyDescent="0.25">
      <c r="A668" s="3">
        <v>14357800</v>
      </c>
      <c r="B668" s="3">
        <v>0.14799999999999999</v>
      </c>
      <c r="C668" s="3">
        <v>8</v>
      </c>
      <c r="D668" s="3">
        <v>2</v>
      </c>
      <c r="E668" s="3">
        <f>+VLOOKUP(A668,'[1]Reporte Canjes Meals'!$A:$K,10,0)</f>
        <v>0</v>
      </c>
      <c r="F668" s="3">
        <f t="shared" si="20"/>
        <v>0</v>
      </c>
      <c r="G668" s="3">
        <f t="shared" si="21"/>
        <v>2</v>
      </c>
    </row>
    <row r="669" spans="1:7" x14ac:dyDescent="0.25">
      <c r="A669" s="3">
        <v>14358464</v>
      </c>
      <c r="B669" s="3">
        <v>0.16700000000000001</v>
      </c>
      <c r="C669" s="3">
        <v>9</v>
      </c>
      <c r="D669" s="3">
        <v>2.25</v>
      </c>
      <c r="E669" s="3">
        <f>+VLOOKUP(A669,'[1]Reporte Canjes Meals'!$A:$K,10,0)</f>
        <v>0</v>
      </c>
      <c r="F669" s="3">
        <f t="shared" si="20"/>
        <v>0</v>
      </c>
      <c r="G669" s="3">
        <f t="shared" si="21"/>
        <v>2.25</v>
      </c>
    </row>
    <row r="670" spans="1:7" x14ac:dyDescent="0.25">
      <c r="A670" s="3">
        <v>14358558</v>
      </c>
      <c r="B670" s="3">
        <v>0.224</v>
      </c>
      <c r="C670" s="3">
        <v>12</v>
      </c>
      <c r="D670" s="3">
        <v>3</v>
      </c>
      <c r="E670" s="3">
        <f>+VLOOKUP(A670,'[1]Reporte Canjes Meals'!$A:$K,10,0)</f>
        <v>0</v>
      </c>
      <c r="F670" s="3">
        <f t="shared" si="20"/>
        <v>0</v>
      </c>
      <c r="G670" s="3">
        <f t="shared" si="21"/>
        <v>3</v>
      </c>
    </row>
    <row r="671" spans="1:7" x14ac:dyDescent="0.25">
      <c r="A671" s="3">
        <v>14362213</v>
      </c>
      <c r="B671" s="3">
        <v>0.16800000000000001</v>
      </c>
      <c r="C671" s="3">
        <v>9</v>
      </c>
      <c r="D671" s="3">
        <v>2.25</v>
      </c>
      <c r="E671" s="3">
        <f>+VLOOKUP(A671,'[1]Reporte Canjes Meals'!$A:$K,10,0)</f>
        <v>0</v>
      </c>
      <c r="F671" s="3">
        <f t="shared" si="20"/>
        <v>0</v>
      </c>
      <c r="G671" s="3">
        <f t="shared" si="21"/>
        <v>2.25</v>
      </c>
    </row>
    <row r="672" spans="1:7" x14ac:dyDescent="0.25">
      <c r="A672" s="3">
        <v>14364126</v>
      </c>
      <c r="B672" s="3">
        <v>1.9E-2</v>
      </c>
      <c r="C672" s="3">
        <v>1</v>
      </c>
      <c r="D672" s="3">
        <v>0.25</v>
      </c>
      <c r="E672" s="3">
        <f>+VLOOKUP(A672,'[1]Reporte Canjes Meals'!$A:$K,10,0)</f>
        <v>1</v>
      </c>
      <c r="F672" s="3">
        <f t="shared" si="20"/>
        <v>0.25</v>
      </c>
      <c r="G672" s="3">
        <f t="shared" si="21"/>
        <v>0</v>
      </c>
    </row>
    <row r="673" spans="1:7" x14ac:dyDescent="0.25">
      <c r="A673" s="3">
        <v>14366052</v>
      </c>
      <c r="B673" s="3">
        <v>0.14899999999999999</v>
      </c>
      <c r="C673" s="3">
        <v>8</v>
      </c>
      <c r="D673" s="3">
        <v>2</v>
      </c>
      <c r="E673" s="3">
        <f>+VLOOKUP(A673,'[1]Reporte Canjes Meals'!$A:$K,10,0)</f>
        <v>2</v>
      </c>
      <c r="F673" s="3">
        <f t="shared" si="20"/>
        <v>0.5</v>
      </c>
      <c r="G673" s="3">
        <f t="shared" si="21"/>
        <v>1.5</v>
      </c>
    </row>
    <row r="674" spans="1:7" x14ac:dyDescent="0.25">
      <c r="A674" s="3">
        <v>14370261</v>
      </c>
      <c r="B674" s="3">
        <v>0.29799999999999999</v>
      </c>
      <c r="C674" s="3">
        <v>16</v>
      </c>
      <c r="D674" s="3">
        <v>4</v>
      </c>
      <c r="E674" s="3">
        <f>+VLOOKUP(A674,'[1]Reporte Canjes Meals'!$A:$K,10,0)</f>
        <v>10</v>
      </c>
      <c r="F674" s="3">
        <f t="shared" si="20"/>
        <v>2.5</v>
      </c>
      <c r="G674" s="3">
        <f t="shared" si="21"/>
        <v>1.5</v>
      </c>
    </row>
    <row r="675" spans="1:7" x14ac:dyDescent="0.25">
      <c r="A675" s="3">
        <v>14370929</v>
      </c>
      <c r="B675" s="3">
        <v>0.186</v>
      </c>
      <c r="C675" s="3">
        <v>10</v>
      </c>
      <c r="D675" s="3">
        <v>2.5</v>
      </c>
      <c r="E675" s="3">
        <f>+VLOOKUP(A675,'[1]Reporte Canjes Meals'!$A:$K,10,0)</f>
        <v>8</v>
      </c>
      <c r="F675" s="3">
        <f t="shared" si="20"/>
        <v>2</v>
      </c>
      <c r="G675" s="3">
        <f t="shared" si="21"/>
        <v>0.5</v>
      </c>
    </row>
    <row r="676" spans="1:7" x14ac:dyDescent="0.25">
      <c r="A676" s="3">
        <v>14372170</v>
      </c>
      <c r="B676" s="3">
        <v>0.57599999999999996</v>
      </c>
      <c r="C676" s="3">
        <v>31</v>
      </c>
      <c r="D676" s="3">
        <v>7.75</v>
      </c>
      <c r="E676" s="3">
        <f>+VLOOKUP(A676,'[1]Reporte Canjes Meals'!$A:$K,10,0)</f>
        <v>13</v>
      </c>
      <c r="F676" s="3">
        <f t="shared" si="20"/>
        <v>3.25</v>
      </c>
      <c r="G676" s="3">
        <f t="shared" si="21"/>
        <v>4.5</v>
      </c>
    </row>
    <row r="677" spans="1:7" x14ac:dyDescent="0.25">
      <c r="A677" s="3">
        <v>14376809</v>
      </c>
      <c r="B677" s="3">
        <v>7.4999999999999997E-2</v>
      </c>
      <c r="C677" s="3">
        <v>4</v>
      </c>
      <c r="D677" s="3">
        <v>1</v>
      </c>
      <c r="E677" s="3">
        <f>+VLOOKUP(A677,'[1]Reporte Canjes Meals'!$A:$K,10,0)</f>
        <v>0</v>
      </c>
      <c r="F677" s="3">
        <f t="shared" si="20"/>
        <v>0</v>
      </c>
      <c r="G677" s="3">
        <f t="shared" si="21"/>
        <v>1</v>
      </c>
    </row>
    <row r="678" spans="1:7" x14ac:dyDescent="0.25">
      <c r="A678" s="3">
        <v>14378638</v>
      </c>
      <c r="B678" s="3">
        <v>0.112</v>
      </c>
      <c r="C678" s="3">
        <v>6</v>
      </c>
      <c r="D678" s="3">
        <v>1.5</v>
      </c>
      <c r="E678" s="3">
        <f>+VLOOKUP(A678,'[1]Reporte Canjes Meals'!$A:$K,10,0)</f>
        <v>3</v>
      </c>
      <c r="F678" s="3">
        <f t="shared" si="20"/>
        <v>0.75</v>
      </c>
      <c r="G678" s="3">
        <f t="shared" si="21"/>
        <v>0.75</v>
      </c>
    </row>
    <row r="679" spans="1:7" x14ac:dyDescent="0.25">
      <c r="A679" s="3">
        <v>14378641</v>
      </c>
      <c r="B679" s="3">
        <v>0.16700000000000001</v>
      </c>
      <c r="C679" s="3">
        <v>9</v>
      </c>
      <c r="D679" s="3">
        <v>2.25</v>
      </c>
      <c r="E679" s="3">
        <f>+VLOOKUP(A679,'[1]Reporte Canjes Meals'!$A:$K,10,0)</f>
        <v>0</v>
      </c>
      <c r="F679" s="3">
        <f t="shared" si="20"/>
        <v>0</v>
      </c>
      <c r="G679" s="3">
        <f t="shared" si="21"/>
        <v>2.25</v>
      </c>
    </row>
    <row r="680" spans="1:7" x14ac:dyDescent="0.25">
      <c r="A680" s="3">
        <v>14380454</v>
      </c>
      <c r="B680" s="3">
        <v>0.16700000000000001</v>
      </c>
      <c r="C680" s="3">
        <v>9</v>
      </c>
      <c r="D680" s="3">
        <v>2.25</v>
      </c>
      <c r="E680" s="3">
        <f>+VLOOKUP(A680,'[1]Reporte Canjes Meals'!$A:$K,10,0)</f>
        <v>0</v>
      </c>
      <c r="F680" s="3">
        <f t="shared" si="20"/>
        <v>0</v>
      </c>
      <c r="G680" s="3">
        <f t="shared" si="21"/>
        <v>2.25</v>
      </c>
    </row>
    <row r="681" spans="1:7" x14ac:dyDescent="0.25">
      <c r="A681" s="3">
        <v>14380456</v>
      </c>
      <c r="B681" s="3">
        <v>1.9E-2</v>
      </c>
      <c r="C681" s="3">
        <v>1</v>
      </c>
      <c r="D681" s="3">
        <v>0.25</v>
      </c>
      <c r="E681" s="3">
        <f>+VLOOKUP(A681,'[1]Reporte Canjes Meals'!$A:$K,10,0)</f>
        <v>0</v>
      </c>
      <c r="F681" s="3">
        <f t="shared" si="20"/>
        <v>0</v>
      </c>
      <c r="G681" s="3">
        <f t="shared" si="21"/>
        <v>0.25</v>
      </c>
    </row>
    <row r="682" spans="1:7" x14ac:dyDescent="0.25">
      <c r="A682" s="3">
        <v>14382266</v>
      </c>
      <c r="B682" s="3">
        <v>0.186</v>
      </c>
      <c r="C682" s="3">
        <v>10</v>
      </c>
      <c r="D682" s="3">
        <v>2.5</v>
      </c>
      <c r="E682" s="3">
        <f>+VLOOKUP(A682,'[1]Reporte Canjes Meals'!$A:$K,10,0)</f>
        <v>2</v>
      </c>
      <c r="F682" s="3">
        <f t="shared" si="20"/>
        <v>0.5</v>
      </c>
      <c r="G682" s="3">
        <f t="shared" si="21"/>
        <v>2</v>
      </c>
    </row>
    <row r="683" spans="1:7" x14ac:dyDescent="0.25">
      <c r="A683" s="3">
        <v>14386710</v>
      </c>
      <c r="B683" s="3">
        <v>0.21299999999999999</v>
      </c>
      <c r="C683" s="3">
        <v>10</v>
      </c>
      <c r="D683" s="3">
        <v>2.5</v>
      </c>
      <c r="E683" s="3">
        <f>+VLOOKUP(A683,'[1]Reporte Canjes Meals'!$A:$K,10,0)</f>
        <v>0</v>
      </c>
      <c r="F683" s="3">
        <f t="shared" si="20"/>
        <v>0</v>
      </c>
      <c r="G683" s="3">
        <f t="shared" si="21"/>
        <v>2.5</v>
      </c>
    </row>
    <row r="684" spans="1:7" x14ac:dyDescent="0.25">
      <c r="A684" s="3">
        <v>14386724</v>
      </c>
      <c r="B684" s="3">
        <v>0.14899999999999999</v>
      </c>
      <c r="C684" s="3">
        <v>8</v>
      </c>
      <c r="D684" s="3">
        <v>2</v>
      </c>
      <c r="E684" s="3">
        <f>+VLOOKUP(A684,'[1]Reporte Canjes Meals'!$A:$K,10,0)</f>
        <v>0</v>
      </c>
      <c r="F684" s="3">
        <f t="shared" si="20"/>
        <v>0</v>
      </c>
      <c r="G684" s="3">
        <f t="shared" si="21"/>
        <v>2</v>
      </c>
    </row>
    <row r="685" spans="1:7" x14ac:dyDescent="0.25">
      <c r="A685" s="3">
        <v>14386725</v>
      </c>
      <c r="B685" s="3">
        <v>0.14899999999999999</v>
      </c>
      <c r="C685" s="3">
        <v>8</v>
      </c>
      <c r="D685" s="3">
        <v>2</v>
      </c>
      <c r="E685" s="3">
        <f>+VLOOKUP(A685,'[1]Reporte Canjes Meals'!$A:$K,10,0)</f>
        <v>5</v>
      </c>
      <c r="F685" s="3">
        <f t="shared" si="20"/>
        <v>1.25</v>
      </c>
      <c r="G685" s="3">
        <f t="shared" si="21"/>
        <v>0.75</v>
      </c>
    </row>
    <row r="686" spans="1:7" x14ac:dyDescent="0.25">
      <c r="A686" s="3">
        <v>14388057</v>
      </c>
      <c r="B686" s="3">
        <v>0.44700000000000001</v>
      </c>
      <c r="C686" s="3">
        <v>24</v>
      </c>
      <c r="D686" s="3">
        <v>6</v>
      </c>
      <c r="E686" s="3">
        <f>+VLOOKUP(A686,'[1]Reporte Canjes Meals'!$A:$K,10,0)</f>
        <v>0</v>
      </c>
      <c r="F686" s="3">
        <f t="shared" si="20"/>
        <v>0</v>
      </c>
      <c r="G686" s="3">
        <f t="shared" si="21"/>
        <v>6</v>
      </c>
    </row>
    <row r="687" spans="1:7" x14ac:dyDescent="0.25">
      <c r="A687" s="3">
        <v>14388120</v>
      </c>
      <c r="B687" s="3">
        <v>0.44600000000000001</v>
      </c>
      <c r="C687" s="3">
        <v>24</v>
      </c>
      <c r="D687" s="3">
        <v>6</v>
      </c>
      <c r="E687" s="3">
        <f>+VLOOKUP(A687,'[1]Reporte Canjes Meals'!$A:$K,10,0)</f>
        <v>15</v>
      </c>
      <c r="F687" s="3">
        <f t="shared" si="20"/>
        <v>3.75</v>
      </c>
      <c r="G687" s="3">
        <f t="shared" si="21"/>
        <v>2.25</v>
      </c>
    </row>
    <row r="688" spans="1:7" x14ac:dyDescent="0.25">
      <c r="A688" s="3">
        <v>14389644</v>
      </c>
      <c r="B688" s="3">
        <v>0.111</v>
      </c>
      <c r="C688" s="3">
        <v>6</v>
      </c>
      <c r="D688" s="3">
        <v>1.5</v>
      </c>
      <c r="E688" s="3">
        <f>+VLOOKUP(A688,'[1]Reporte Canjes Meals'!$A:$K,10,0)</f>
        <v>6</v>
      </c>
      <c r="F688" s="3">
        <f t="shared" si="20"/>
        <v>1.5</v>
      </c>
      <c r="G688" s="3">
        <f t="shared" si="21"/>
        <v>0</v>
      </c>
    </row>
    <row r="689" spans="1:7" x14ac:dyDescent="0.25">
      <c r="A689" s="3">
        <v>14391253</v>
      </c>
      <c r="B689" s="3">
        <v>7.3999999999999996E-2</v>
      </c>
      <c r="C689" s="3">
        <v>4</v>
      </c>
      <c r="D689" s="3">
        <v>1</v>
      </c>
      <c r="E689" s="3">
        <f>+VLOOKUP(A689,'[1]Reporte Canjes Meals'!$A:$K,10,0)</f>
        <v>2</v>
      </c>
      <c r="F689" s="3">
        <f t="shared" si="20"/>
        <v>0.5</v>
      </c>
      <c r="G689" s="3">
        <f t="shared" si="21"/>
        <v>0.5</v>
      </c>
    </row>
    <row r="690" spans="1:7" x14ac:dyDescent="0.25">
      <c r="A690" s="3">
        <v>14392816</v>
      </c>
      <c r="B690" s="3">
        <v>1.9E-2</v>
      </c>
      <c r="C690" s="3">
        <v>1</v>
      </c>
      <c r="D690" s="3">
        <v>0.25</v>
      </c>
      <c r="E690" s="3">
        <f>+VLOOKUP(A690,'[1]Reporte Canjes Meals'!$A:$K,10,0)</f>
        <v>0</v>
      </c>
      <c r="F690" s="3">
        <f t="shared" si="20"/>
        <v>0</v>
      </c>
      <c r="G690" s="3">
        <f t="shared" si="21"/>
        <v>0.25</v>
      </c>
    </row>
    <row r="691" spans="1:7" x14ac:dyDescent="0.25">
      <c r="A691" s="3">
        <v>14392844</v>
      </c>
      <c r="B691" s="3">
        <v>5.6000000000000001E-2</v>
      </c>
      <c r="C691" s="3">
        <v>3</v>
      </c>
      <c r="D691" s="3">
        <v>0.75</v>
      </c>
      <c r="E691" s="3">
        <f>+VLOOKUP(A691,'[1]Reporte Canjes Meals'!$A:$K,10,0)</f>
        <v>0</v>
      </c>
      <c r="F691" s="3">
        <f t="shared" si="20"/>
        <v>0</v>
      </c>
      <c r="G691" s="3">
        <f t="shared" si="21"/>
        <v>0.75</v>
      </c>
    </row>
    <row r="692" spans="1:7" x14ac:dyDescent="0.25">
      <c r="A692" s="3">
        <v>14393623</v>
      </c>
      <c r="B692" s="3">
        <v>9.2999999999999999E-2</v>
      </c>
      <c r="C692" s="3">
        <v>5</v>
      </c>
      <c r="D692" s="3">
        <v>1.25</v>
      </c>
      <c r="E692" s="3">
        <f>+VLOOKUP(A692,'[1]Reporte Canjes Meals'!$A:$K,10,0)</f>
        <v>5</v>
      </c>
      <c r="F692" s="3">
        <f t="shared" si="20"/>
        <v>1.25</v>
      </c>
      <c r="G692" s="3">
        <f t="shared" si="21"/>
        <v>0</v>
      </c>
    </row>
    <row r="693" spans="1:7" x14ac:dyDescent="0.25">
      <c r="A693" s="3">
        <v>14393671</v>
      </c>
      <c r="B693" s="3">
        <v>0.26</v>
      </c>
      <c r="C693" s="3">
        <v>14</v>
      </c>
      <c r="D693" s="3">
        <v>3.5</v>
      </c>
      <c r="E693" s="3">
        <f>+VLOOKUP(A693,'[1]Reporte Canjes Meals'!$A:$K,10,0)</f>
        <v>4</v>
      </c>
      <c r="F693" s="3">
        <f t="shared" si="20"/>
        <v>1</v>
      </c>
      <c r="G693" s="3">
        <f t="shared" si="21"/>
        <v>2.5</v>
      </c>
    </row>
    <row r="694" spans="1:7" x14ac:dyDescent="0.25">
      <c r="A694" s="3">
        <v>14394799</v>
      </c>
      <c r="B694" s="3">
        <v>0.224</v>
      </c>
      <c r="C694" s="3">
        <v>12</v>
      </c>
      <c r="D694" s="3">
        <v>3</v>
      </c>
      <c r="E694" s="3">
        <f>+VLOOKUP(A694,'[1]Reporte Canjes Meals'!$A:$K,10,0)</f>
        <v>0</v>
      </c>
      <c r="F694" s="3">
        <f t="shared" si="20"/>
        <v>0</v>
      </c>
      <c r="G694" s="3">
        <f t="shared" si="21"/>
        <v>3</v>
      </c>
    </row>
    <row r="695" spans="1:7" x14ac:dyDescent="0.25">
      <c r="A695" s="3">
        <v>14396252</v>
      </c>
      <c r="B695" s="3">
        <v>7.3999999999999996E-2</v>
      </c>
      <c r="C695" s="3">
        <v>4</v>
      </c>
      <c r="D695" s="3">
        <v>1</v>
      </c>
      <c r="E695" s="3">
        <f>+VLOOKUP(A695,'[1]Reporte Canjes Meals'!$A:$K,10,0)</f>
        <v>0</v>
      </c>
      <c r="F695" s="3">
        <f t="shared" si="20"/>
        <v>0</v>
      </c>
      <c r="G695" s="3">
        <f t="shared" si="21"/>
        <v>1</v>
      </c>
    </row>
    <row r="696" spans="1:7" x14ac:dyDescent="0.25">
      <c r="A696" s="3">
        <v>14398206</v>
      </c>
      <c r="B696" s="3">
        <v>0.14899999999999999</v>
      </c>
      <c r="C696" s="3">
        <v>8</v>
      </c>
      <c r="D696" s="3">
        <v>2</v>
      </c>
      <c r="E696" s="3">
        <f>+VLOOKUP(A696,'[1]Reporte Canjes Meals'!$A:$K,10,0)</f>
        <v>0</v>
      </c>
      <c r="F696" s="3">
        <f t="shared" si="20"/>
        <v>0</v>
      </c>
      <c r="G696" s="3">
        <f t="shared" si="21"/>
        <v>2</v>
      </c>
    </row>
    <row r="697" spans="1:7" x14ac:dyDescent="0.25">
      <c r="A697" s="3">
        <v>14400301</v>
      </c>
      <c r="B697" s="3">
        <v>7.3999999999999996E-2</v>
      </c>
      <c r="C697" s="3">
        <v>4</v>
      </c>
      <c r="D697" s="3">
        <v>1</v>
      </c>
      <c r="E697" s="3">
        <f>+VLOOKUP(A697,'[1]Reporte Canjes Meals'!$A:$K,10,0)</f>
        <v>0</v>
      </c>
      <c r="F697" s="3">
        <f t="shared" si="20"/>
        <v>0</v>
      </c>
      <c r="G697" s="3">
        <f t="shared" si="21"/>
        <v>1</v>
      </c>
    </row>
    <row r="698" spans="1:7" x14ac:dyDescent="0.25">
      <c r="A698" s="3">
        <v>14402365</v>
      </c>
      <c r="B698" s="3">
        <v>0.16700000000000001</v>
      </c>
      <c r="C698" s="3">
        <v>9</v>
      </c>
      <c r="D698" s="3">
        <v>2.25</v>
      </c>
      <c r="E698" s="3">
        <f>+VLOOKUP(A698,'[1]Reporte Canjes Meals'!$A:$K,10,0)</f>
        <v>0</v>
      </c>
      <c r="F698" s="3">
        <f t="shared" si="20"/>
        <v>0</v>
      </c>
      <c r="G698" s="3">
        <f t="shared" si="21"/>
        <v>2.25</v>
      </c>
    </row>
    <row r="699" spans="1:7" x14ac:dyDescent="0.25">
      <c r="A699" s="3">
        <v>14402935</v>
      </c>
      <c r="B699" s="3">
        <v>0.14799999999999999</v>
      </c>
      <c r="C699" s="3">
        <v>8</v>
      </c>
      <c r="D699" s="3">
        <v>2</v>
      </c>
      <c r="E699" s="3">
        <f>+VLOOKUP(A699,'[1]Reporte Canjes Meals'!$A:$K,10,0)</f>
        <v>0</v>
      </c>
      <c r="F699" s="3">
        <f t="shared" si="20"/>
        <v>0</v>
      </c>
      <c r="G699" s="3">
        <f t="shared" si="21"/>
        <v>2</v>
      </c>
    </row>
    <row r="700" spans="1:7" x14ac:dyDescent="0.25">
      <c r="A700" s="3">
        <v>14404208</v>
      </c>
      <c r="B700" s="3">
        <v>0.223</v>
      </c>
      <c r="C700" s="3">
        <v>12</v>
      </c>
      <c r="D700" s="3">
        <v>3</v>
      </c>
      <c r="E700" s="3">
        <f>+VLOOKUP(A700,'[1]Reporte Canjes Meals'!$A:$K,10,0)</f>
        <v>12</v>
      </c>
      <c r="F700" s="3">
        <f t="shared" si="20"/>
        <v>3</v>
      </c>
      <c r="G700" s="3">
        <f t="shared" si="21"/>
        <v>0</v>
      </c>
    </row>
    <row r="701" spans="1:7" x14ac:dyDescent="0.25">
      <c r="A701" s="3">
        <v>14407675</v>
      </c>
      <c r="B701" s="3">
        <v>0.13</v>
      </c>
      <c r="C701" s="3">
        <v>7</v>
      </c>
      <c r="D701" s="3">
        <v>1.75</v>
      </c>
      <c r="E701" s="3">
        <f>+VLOOKUP(A701,'[1]Reporte Canjes Meals'!$A:$K,10,0)</f>
        <v>5</v>
      </c>
      <c r="F701" s="3">
        <f t="shared" si="20"/>
        <v>1.25</v>
      </c>
      <c r="G701" s="3">
        <f t="shared" si="21"/>
        <v>0.5</v>
      </c>
    </row>
    <row r="702" spans="1:7" x14ac:dyDescent="0.25">
      <c r="A702" s="3">
        <v>14410722</v>
      </c>
      <c r="B702" s="3">
        <v>0.52300000000000002</v>
      </c>
      <c r="C702" s="3">
        <v>28</v>
      </c>
      <c r="D702" s="3">
        <v>7</v>
      </c>
      <c r="E702" s="3">
        <f>+VLOOKUP(A702,'[1]Reporte Canjes Meals'!$A:$K,10,0)</f>
        <v>9</v>
      </c>
      <c r="F702" s="3">
        <f t="shared" si="20"/>
        <v>2.25</v>
      </c>
      <c r="G702" s="3">
        <f t="shared" si="21"/>
        <v>4.75</v>
      </c>
    </row>
    <row r="703" spans="1:7" x14ac:dyDescent="0.25">
      <c r="A703" s="3">
        <v>14412407</v>
      </c>
      <c r="B703" s="3">
        <v>0.223</v>
      </c>
      <c r="C703" s="3">
        <v>12</v>
      </c>
      <c r="D703" s="3">
        <v>3</v>
      </c>
      <c r="E703" s="3">
        <f>+VLOOKUP(A703,'[1]Reporte Canjes Meals'!$A:$K,10,0)</f>
        <v>6</v>
      </c>
      <c r="F703" s="3">
        <f t="shared" si="20"/>
        <v>1.5</v>
      </c>
      <c r="G703" s="3">
        <f t="shared" si="21"/>
        <v>1.5</v>
      </c>
    </row>
    <row r="704" spans="1:7" x14ac:dyDescent="0.25">
      <c r="A704" s="3">
        <v>14412607</v>
      </c>
      <c r="B704" s="3">
        <v>0.35299999999999998</v>
      </c>
      <c r="C704" s="3">
        <v>19</v>
      </c>
      <c r="D704" s="3">
        <v>4.75</v>
      </c>
      <c r="E704" s="3">
        <f>+VLOOKUP(A704,'[1]Reporte Canjes Meals'!$A:$K,10,0)</f>
        <v>0</v>
      </c>
      <c r="F704" s="3">
        <f t="shared" si="20"/>
        <v>0</v>
      </c>
      <c r="G704" s="3">
        <f t="shared" si="21"/>
        <v>4.75</v>
      </c>
    </row>
    <row r="705" spans="1:7" x14ac:dyDescent="0.25">
      <c r="A705" s="3">
        <v>14416904</v>
      </c>
      <c r="B705" s="3">
        <v>0.112</v>
      </c>
      <c r="C705" s="3">
        <v>6</v>
      </c>
      <c r="D705" s="3">
        <v>1.5</v>
      </c>
      <c r="E705" s="3">
        <f>+VLOOKUP(A705,'[1]Reporte Canjes Meals'!$A:$K,10,0)</f>
        <v>0</v>
      </c>
      <c r="F705" s="3">
        <f t="shared" si="20"/>
        <v>0</v>
      </c>
      <c r="G705" s="3">
        <f t="shared" si="21"/>
        <v>1.5</v>
      </c>
    </row>
    <row r="706" spans="1:7" x14ac:dyDescent="0.25">
      <c r="A706" s="3">
        <v>14416920</v>
      </c>
      <c r="B706" s="3">
        <v>7.3999999999999996E-2</v>
      </c>
      <c r="C706" s="3">
        <v>4</v>
      </c>
      <c r="D706" s="3">
        <v>1</v>
      </c>
      <c r="E706" s="3">
        <f>+VLOOKUP(A706,'[1]Reporte Canjes Meals'!$A:$K,10,0)</f>
        <v>0</v>
      </c>
      <c r="F706" s="3">
        <f t="shared" si="20"/>
        <v>0</v>
      </c>
      <c r="G706" s="3">
        <f t="shared" si="21"/>
        <v>1</v>
      </c>
    </row>
    <row r="707" spans="1:7" x14ac:dyDescent="0.25">
      <c r="A707" s="3">
        <v>14417513</v>
      </c>
      <c r="B707" s="3">
        <v>0.13100000000000001</v>
      </c>
      <c r="C707" s="3">
        <v>7</v>
      </c>
      <c r="D707" s="3">
        <v>1.75</v>
      </c>
      <c r="E707" s="3">
        <f>+VLOOKUP(A707,'[1]Reporte Canjes Meals'!$A:$K,10,0)</f>
        <v>1</v>
      </c>
      <c r="F707" s="3">
        <f t="shared" ref="F707:F755" si="22">+E707/4</f>
        <v>0.25</v>
      </c>
      <c r="G707" s="3">
        <f t="shared" ref="G707:G755" si="23">+D707-F707</f>
        <v>1.5</v>
      </c>
    </row>
    <row r="708" spans="1:7" x14ac:dyDescent="0.25">
      <c r="A708" s="3">
        <v>14419494</v>
      </c>
      <c r="B708" s="3">
        <v>7.3999999999999996E-2</v>
      </c>
      <c r="C708" s="3">
        <v>4</v>
      </c>
      <c r="D708" s="3">
        <v>1</v>
      </c>
      <c r="E708" s="3">
        <f>+VLOOKUP(A708,'[1]Reporte Canjes Meals'!$A:$K,10,0)</f>
        <v>0</v>
      </c>
      <c r="F708" s="3">
        <f t="shared" si="22"/>
        <v>0</v>
      </c>
      <c r="G708" s="3">
        <f t="shared" si="23"/>
        <v>1</v>
      </c>
    </row>
    <row r="709" spans="1:7" x14ac:dyDescent="0.25">
      <c r="A709" s="3">
        <v>14421571</v>
      </c>
      <c r="B709" s="3">
        <v>0.14899999999999999</v>
      </c>
      <c r="C709" s="3">
        <v>8</v>
      </c>
      <c r="D709" s="3">
        <v>2</v>
      </c>
      <c r="E709" s="3">
        <f>+VLOOKUP(A709,'[1]Reporte Canjes Meals'!$A:$K,10,0)</f>
        <v>5</v>
      </c>
      <c r="F709" s="3">
        <f t="shared" si="22"/>
        <v>1.25</v>
      </c>
      <c r="G709" s="3">
        <f t="shared" si="23"/>
        <v>0.75</v>
      </c>
    </row>
    <row r="710" spans="1:7" x14ac:dyDescent="0.25">
      <c r="A710" s="3">
        <v>14421744</v>
      </c>
      <c r="B710" s="3">
        <v>0.112</v>
      </c>
      <c r="C710" s="3">
        <v>6</v>
      </c>
      <c r="D710" s="3">
        <v>1.5</v>
      </c>
      <c r="E710" s="3">
        <f>+VLOOKUP(A710,'[1]Reporte Canjes Meals'!$A:$K,10,0)</f>
        <v>6</v>
      </c>
      <c r="F710" s="3">
        <f t="shared" si="22"/>
        <v>1.5</v>
      </c>
      <c r="G710" s="3">
        <f t="shared" si="23"/>
        <v>0</v>
      </c>
    </row>
    <row r="711" spans="1:7" x14ac:dyDescent="0.25">
      <c r="A711" s="3">
        <v>14423705</v>
      </c>
      <c r="B711" s="3">
        <v>0.192</v>
      </c>
      <c r="C711" s="3">
        <v>9</v>
      </c>
      <c r="D711" s="3">
        <v>2.25</v>
      </c>
      <c r="E711" s="3">
        <f>+VLOOKUP(A711,'[1]Reporte Canjes Meals'!$A:$K,10,0)</f>
        <v>0</v>
      </c>
      <c r="F711" s="3">
        <f t="shared" si="22"/>
        <v>0</v>
      </c>
      <c r="G711" s="3">
        <f t="shared" si="23"/>
        <v>2.25</v>
      </c>
    </row>
    <row r="712" spans="1:7" x14ac:dyDescent="0.25">
      <c r="A712" s="3">
        <v>14423776</v>
      </c>
      <c r="B712" s="3">
        <v>1.9E-2</v>
      </c>
      <c r="C712" s="3">
        <v>1</v>
      </c>
      <c r="D712" s="3">
        <v>0.25</v>
      </c>
      <c r="E712" s="3">
        <f>+VLOOKUP(A712,'[1]Reporte Canjes Meals'!$A:$K,10,0)</f>
        <v>0</v>
      </c>
      <c r="F712" s="3">
        <f t="shared" si="22"/>
        <v>0</v>
      </c>
      <c r="G712" s="3">
        <f t="shared" si="23"/>
        <v>0.25</v>
      </c>
    </row>
    <row r="713" spans="1:7" x14ac:dyDescent="0.25">
      <c r="A713" s="3">
        <v>14427258</v>
      </c>
      <c r="B713" s="3">
        <v>0.112</v>
      </c>
      <c r="C713" s="3">
        <v>6</v>
      </c>
      <c r="D713" s="3">
        <v>1.5</v>
      </c>
      <c r="E713" s="3">
        <f>+VLOOKUP(A713,'[1]Reporte Canjes Meals'!$A:$K,10,0)</f>
        <v>0</v>
      </c>
      <c r="F713" s="3">
        <f t="shared" si="22"/>
        <v>0</v>
      </c>
      <c r="G713" s="3">
        <f t="shared" si="23"/>
        <v>1.5</v>
      </c>
    </row>
    <row r="714" spans="1:7" x14ac:dyDescent="0.25">
      <c r="A714" s="3">
        <v>14428421</v>
      </c>
      <c r="B714" s="3">
        <v>0.14899999999999999</v>
      </c>
      <c r="C714" s="3">
        <v>8</v>
      </c>
      <c r="D714" s="3">
        <v>2</v>
      </c>
      <c r="E714" s="3">
        <f>+VLOOKUP(A714,'[1]Reporte Canjes Meals'!$A:$K,10,0)</f>
        <v>6</v>
      </c>
      <c r="F714" s="3">
        <f t="shared" si="22"/>
        <v>1.5</v>
      </c>
      <c r="G714" s="3">
        <f t="shared" si="23"/>
        <v>0.5</v>
      </c>
    </row>
    <row r="715" spans="1:7" x14ac:dyDescent="0.25">
      <c r="A715" s="3">
        <v>14429330</v>
      </c>
      <c r="B715" s="3">
        <v>7.3999999999999996E-2</v>
      </c>
      <c r="C715" s="3">
        <v>4</v>
      </c>
      <c r="D715" s="3">
        <v>1</v>
      </c>
      <c r="E715" s="3">
        <f>+VLOOKUP(A715,'[1]Reporte Canjes Meals'!$A:$K,10,0)</f>
        <v>0</v>
      </c>
      <c r="F715" s="3">
        <f t="shared" si="22"/>
        <v>0</v>
      </c>
      <c r="G715" s="3">
        <f t="shared" si="23"/>
        <v>1</v>
      </c>
    </row>
    <row r="716" spans="1:7" x14ac:dyDescent="0.25">
      <c r="A716" s="3">
        <v>14429346</v>
      </c>
      <c r="B716" s="3">
        <v>1.9E-2</v>
      </c>
      <c r="C716" s="3">
        <v>1</v>
      </c>
      <c r="D716" s="3">
        <v>0.25</v>
      </c>
      <c r="E716" s="3">
        <f>+VLOOKUP(A716,'[1]Reporte Canjes Meals'!$A:$K,10,0)</f>
        <v>0</v>
      </c>
      <c r="F716" s="3">
        <f t="shared" si="22"/>
        <v>0</v>
      </c>
      <c r="G716" s="3">
        <f t="shared" si="23"/>
        <v>0.25</v>
      </c>
    </row>
    <row r="717" spans="1:7" x14ac:dyDescent="0.25">
      <c r="A717" s="3">
        <v>14431061</v>
      </c>
      <c r="B717" s="3">
        <v>0.112</v>
      </c>
      <c r="C717" s="3">
        <v>6</v>
      </c>
      <c r="D717" s="3">
        <v>1.5</v>
      </c>
      <c r="E717" s="3">
        <f>+VLOOKUP(A717,'[1]Reporte Canjes Meals'!$A:$K,10,0)</f>
        <v>0</v>
      </c>
      <c r="F717" s="3">
        <f t="shared" si="22"/>
        <v>0</v>
      </c>
      <c r="G717" s="3">
        <f t="shared" si="23"/>
        <v>1.5</v>
      </c>
    </row>
    <row r="718" spans="1:7" x14ac:dyDescent="0.25">
      <c r="A718" s="3">
        <v>14435235</v>
      </c>
      <c r="B718" s="3">
        <v>0.29699999999999999</v>
      </c>
      <c r="C718" s="3">
        <v>16</v>
      </c>
      <c r="D718" s="3">
        <v>4</v>
      </c>
      <c r="E718" s="3">
        <f>+VLOOKUP(A718,'[1]Reporte Canjes Meals'!$A:$K,10,0)</f>
        <v>8</v>
      </c>
      <c r="F718" s="3">
        <f t="shared" si="22"/>
        <v>2</v>
      </c>
      <c r="G718" s="3">
        <f t="shared" si="23"/>
        <v>2</v>
      </c>
    </row>
    <row r="719" spans="1:7" x14ac:dyDescent="0.25">
      <c r="A719" s="3">
        <v>14435239</v>
      </c>
      <c r="B719" s="3">
        <v>5.6000000000000001E-2</v>
      </c>
      <c r="C719" s="3">
        <v>3</v>
      </c>
      <c r="D719" s="3">
        <v>0.75</v>
      </c>
      <c r="E719" s="3">
        <f>+VLOOKUP(A719,'[1]Reporte Canjes Meals'!$A:$K,10,0)</f>
        <v>3</v>
      </c>
      <c r="F719" s="3">
        <f t="shared" si="22"/>
        <v>0.75</v>
      </c>
      <c r="G719" s="3">
        <f t="shared" si="23"/>
        <v>0</v>
      </c>
    </row>
    <row r="720" spans="1:7" x14ac:dyDescent="0.25">
      <c r="A720" s="3">
        <v>14435287</v>
      </c>
      <c r="B720" s="3">
        <v>0.33400000000000002</v>
      </c>
      <c r="C720" s="3">
        <v>18</v>
      </c>
      <c r="D720" s="3">
        <v>4.5</v>
      </c>
      <c r="E720" s="3">
        <f>+VLOOKUP(A720,'[1]Reporte Canjes Meals'!$A:$K,10,0)</f>
        <v>0</v>
      </c>
      <c r="F720" s="3">
        <f t="shared" si="22"/>
        <v>0</v>
      </c>
      <c r="G720" s="3">
        <f t="shared" si="23"/>
        <v>4.5</v>
      </c>
    </row>
    <row r="721" spans="1:7" x14ac:dyDescent="0.25">
      <c r="A721" s="3">
        <v>14435824</v>
      </c>
      <c r="B721" s="3">
        <v>0.13</v>
      </c>
      <c r="C721" s="3">
        <v>7</v>
      </c>
      <c r="D721" s="3">
        <v>1.75</v>
      </c>
      <c r="E721" s="3">
        <f>+VLOOKUP(A721,'[1]Reporte Canjes Meals'!$A:$K,10,0)</f>
        <v>7</v>
      </c>
      <c r="F721" s="3">
        <f t="shared" si="22"/>
        <v>1.75</v>
      </c>
      <c r="G721" s="3">
        <f t="shared" si="23"/>
        <v>0</v>
      </c>
    </row>
    <row r="722" spans="1:7" x14ac:dyDescent="0.25">
      <c r="A722" s="3">
        <v>14437951</v>
      </c>
      <c r="B722" s="3">
        <v>1.9E-2</v>
      </c>
      <c r="C722" s="3">
        <v>1</v>
      </c>
      <c r="D722" s="3">
        <v>0.25</v>
      </c>
      <c r="E722" s="3">
        <f>+VLOOKUP(A722,'[1]Reporte Canjes Meals'!$A:$K,10,0)</f>
        <v>1</v>
      </c>
      <c r="F722" s="3">
        <f t="shared" si="22"/>
        <v>0.25</v>
      </c>
      <c r="G722" s="3">
        <f t="shared" si="23"/>
        <v>0</v>
      </c>
    </row>
    <row r="723" spans="1:7" x14ac:dyDescent="0.25">
      <c r="A723" s="3">
        <v>14439426</v>
      </c>
      <c r="B723" s="3">
        <v>1.236</v>
      </c>
      <c r="C723" s="3">
        <v>66</v>
      </c>
      <c r="D723" s="3">
        <v>16.5</v>
      </c>
      <c r="E723" s="3">
        <f>+VLOOKUP(A723,'[1]Reporte Canjes Meals'!$A:$K,10,0)</f>
        <v>63</v>
      </c>
      <c r="F723" s="3">
        <f t="shared" si="22"/>
        <v>15.75</v>
      </c>
      <c r="G723" s="3">
        <f t="shared" si="23"/>
        <v>0.75</v>
      </c>
    </row>
    <row r="724" spans="1:7" x14ac:dyDescent="0.25">
      <c r="A724" s="3">
        <v>14440701</v>
      </c>
      <c r="B724" s="3">
        <v>0.16800000000000001</v>
      </c>
      <c r="C724" s="3">
        <v>9</v>
      </c>
      <c r="D724" s="3">
        <v>2.25</v>
      </c>
      <c r="E724" s="3">
        <f>+VLOOKUP(A724,'[1]Reporte Canjes Meals'!$A:$K,10,0)</f>
        <v>0</v>
      </c>
      <c r="F724" s="3">
        <f t="shared" si="22"/>
        <v>0</v>
      </c>
      <c r="G724" s="3">
        <f t="shared" si="23"/>
        <v>2.25</v>
      </c>
    </row>
    <row r="725" spans="1:7" x14ac:dyDescent="0.25">
      <c r="A725" s="3">
        <v>14441483</v>
      </c>
      <c r="B725" s="3">
        <v>5.6000000000000001E-2</v>
      </c>
      <c r="C725" s="3">
        <v>3</v>
      </c>
      <c r="D725" s="3">
        <v>0.75</v>
      </c>
      <c r="E725" s="3">
        <f>+VLOOKUP(A725,'[1]Reporte Canjes Meals'!$A:$K,10,0)</f>
        <v>0</v>
      </c>
      <c r="F725" s="3">
        <f t="shared" si="22"/>
        <v>0</v>
      </c>
      <c r="G725" s="3">
        <f t="shared" si="23"/>
        <v>0.75</v>
      </c>
    </row>
    <row r="726" spans="1:7" x14ac:dyDescent="0.25">
      <c r="A726" s="3">
        <v>14443710</v>
      </c>
      <c r="B726" s="3">
        <v>0.186</v>
      </c>
      <c r="C726" s="3">
        <v>10</v>
      </c>
      <c r="D726" s="3">
        <v>2.5</v>
      </c>
      <c r="E726" s="3">
        <f>+VLOOKUP(A726,'[1]Reporte Canjes Meals'!$A:$K,10,0)</f>
        <v>10</v>
      </c>
      <c r="F726" s="3">
        <f t="shared" si="22"/>
        <v>2.5</v>
      </c>
      <c r="G726" s="3">
        <f t="shared" si="23"/>
        <v>0</v>
      </c>
    </row>
    <row r="727" spans="1:7" x14ac:dyDescent="0.25">
      <c r="A727" s="3">
        <v>14443713</v>
      </c>
      <c r="B727" s="3">
        <v>0.29799999999999999</v>
      </c>
      <c r="C727" s="3">
        <v>16</v>
      </c>
      <c r="D727" s="3">
        <v>4</v>
      </c>
      <c r="E727" s="3">
        <f>+VLOOKUP(A727,'[1]Reporte Canjes Meals'!$A:$K,10,0)</f>
        <v>0</v>
      </c>
      <c r="F727" s="3">
        <f t="shared" si="22"/>
        <v>0</v>
      </c>
      <c r="G727" s="3">
        <f t="shared" si="23"/>
        <v>4</v>
      </c>
    </row>
    <row r="728" spans="1:7" x14ac:dyDescent="0.25">
      <c r="A728" s="3">
        <v>14443744</v>
      </c>
      <c r="B728" s="3">
        <v>7.4999999999999997E-2</v>
      </c>
      <c r="C728" s="3">
        <v>4</v>
      </c>
      <c r="D728" s="3">
        <v>1</v>
      </c>
      <c r="E728" s="3">
        <f>+VLOOKUP(A728,'[1]Reporte Canjes Meals'!$A:$K,10,0)</f>
        <v>0</v>
      </c>
      <c r="F728" s="3">
        <f t="shared" si="22"/>
        <v>0</v>
      </c>
      <c r="G728" s="3">
        <f t="shared" si="23"/>
        <v>1</v>
      </c>
    </row>
    <row r="729" spans="1:7" x14ac:dyDescent="0.25">
      <c r="A729" s="3">
        <v>14443779</v>
      </c>
      <c r="B729" s="3">
        <v>7.3999999999999996E-2</v>
      </c>
      <c r="C729" s="3">
        <v>4</v>
      </c>
      <c r="D729" s="3">
        <v>1</v>
      </c>
      <c r="E729" s="3">
        <f>+VLOOKUP(A729,'[1]Reporte Canjes Meals'!$A:$K,10,0)</f>
        <v>0</v>
      </c>
      <c r="F729" s="3">
        <f t="shared" si="22"/>
        <v>0</v>
      </c>
      <c r="G729" s="3">
        <f t="shared" si="23"/>
        <v>1</v>
      </c>
    </row>
    <row r="730" spans="1:7" x14ac:dyDescent="0.25">
      <c r="A730" s="3">
        <v>14450860</v>
      </c>
      <c r="B730" s="3">
        <v>1.9E-2</v>
      </c>
      <c r="C730" s="3">
        <v>1</v>
      </c>
      <c r="D730" s="3">
        <v>0.25</v>
      </c>
      <c r="E730" s="3">
        <f>+VLOOKUP(A730,'[1]Reporte Canjes Meals'!$A:$K,10,0)</f>
        <v>1</v>
      </c>
      <c r="F730" s="3">
        <f t="shared" si="22"/>
        <v>0.25</v>
      </c>
      <c r="G730" s="3">
        <f t="shared" si="23"/>
        <v>0</v>
      </c>
    </row>
    <row r="731" spans="1:7" x14ac:dyDescent="0.25">
      <c r="A731" s="3">
        <v>14450861</v>
      </c>
      <c r="B731" s="3">
        <v>0.20399999999999999</v>
      </c>
      <c r="C731" s="3">
        <v>7</v>
      </c>
      <c r="D731" s="3">
        <v>1.75</v>
      </c>
      <c r="E731" s="3">
        <f>+VLOOKUP(A731,'[1]Reporte Canjes Meals'!$A:$K,10,0)</f>
        <v>7</v>
      </c>
      <c r="F731" s="3">
        <f t="shared" si="22"/>
        <v>1.75</v>
      </c>
      <c r="G731" s="3">
        <f t="shared" si="23"/>
        <v>0</v>
      </c>
    </row>
    <row r="732" spans="1:7" x14ac:dyDescent="0.25">
      <c r="A732" s="3">
        <v>14451601</v>
      </c>
      <c r="B732" s="3">
        <v>5.6000000000000001E-2</v>
      </c>
      <c r="C732" s="3">
        <v>3</v>
      </c>
      <c r="D732" s="3">
        <v>0.75</v>
      </c>
      <c r="E732" s="3">
        <f>+VLOOKUP(A732,'[1]Reporte Canjes Meals'!$A:$K,10,0)</f>
        <v>0</v>
      </c>
      <c r="F732" s="3">
        <f t="shared" si="22"/>
        <v>0</v>
      </c>
      <c r="G732" s="3">
        <f t="shared" si="23"/>
        <v>0.75</v>
      </c>
    </row>
    <row r="733" spans="1:7" x14ac:dyDescent="0.25">
      <c r="A733" s="3">
        <v>14453209</v>
      </c>
      <c r="B733" s="3">
        <v>3.6999999999999998E-2</v>
      </c>
      <c r="C733" s="3">
        <v>2</v>
      </c>
      <c r="D733" s="3">
        <v>0.5</v>
      </c>
      <c r="E733" s="3">
        <f>+VLOOKUP(A733,'[1]Reporte Canjes Meals'!$A:$K,10,0)</f>
        <v>2</v>
      </c>
      <c r="F733" s="3">
        <f t="shared" si="22"/>
        <v>0.5</v>
      </c>
      <c r="G733" s="3">
        <f t="shared" si="23"/>
        <v>0</v>
      </c>
    </row>
    <row r="734" spans="1:7" x14ac:dyDescent="0.25">
      <c r="A734" s="3">
        <v>14462300</v>
      </c>
      <c r="B734" s="3">
        <v>3.7999999999999999E-2</v>
      </c>
      <c r="C734" s="3">
        <v>2</v>
      </c>
      <c r="D734" s="3">
        <v>0.5</v>
      </c>
      <c r="E734" s="3">
        <f>+VLOOKUP(A734,'[1]Reporte Canjes Meals'!$A:$K,10,0)</f>
        <v>2</v>
      </c>
      <c r="F734" s="3">
        <f t="shared" si="22"/>
        <v>0.5</v>
      </c>
      <c r="G734" s="3">
        <f t="shared" si="23"/>
        <v>0</v>
      </c>
    </row>
    <row r="735" spans="1:7" x14ac:dyDescent="0.25">
      <c r="A735" s="3">
        <v>14462340</v>
      </c>
      <c r="B735" s="3">
        <v>9.2999999999999999E-2</v>
      </c>
      <c r="C735" s="3">
        <v>5</v>
      </c>
      <c r="D735" s="3">
        <v>1.25</v>
      </c>
      <c r="E735" s="3">
        <f>+VLOOKUP(A735,'[1]Reporte Canjes Meals'!$A:$K,10,0)</f>
        <v>5</v>
      </c>
      <c r="F735" s="3">
        <f t="shared" si="22"/>
        <v>1.25</v>
      </c>
      <c r="G735" s="3">
        <f t="shared" si="23"/>
        <v>0</v>
      </c>
    </row>
    <row r="736" spans="1:7" x14ac:dyDescent="0.25">
      <c r="A736" s="3">
        <v>14462357</v>
      </c>
      <c r="B736" s="3">
        <v>1.9E-2</v>
      </c>
      <c r="C736" s="3">
        <v>1</v>
      </c>
      <c r="D736" s="3">
        <v>0.25</v>
      </c>
      <c r="E736" s="3">
        <f>+VLOOKUP(A736,'[1]Reporte Canjes Meals'!$A:$K,10,0)</f>
        <v>0</v>
      </c>
      <c r="F736" s="3">
        <f t="shared" si="22"/>
        <v>0</v>
      </c>
      <c r="G736" s="3">
        <f t="shared" si="23"/>
        <v>0.25</v>
      </c>
    </row>
    <row r="737" spans="1:7" x14ac:dyDescent="0.25">
      <c r="A737" s="3">
        <v>14462378</v>
      </c>
      <c r="B737" s="3">
        <v>0.185</v>
      </c>
      <c r="C737" s="3">
        <v>10</v>
      </c>
      <c r="D737" s="3">
        <v>2.5</v>
      </c>
      <c r="E737" s="3">
        <f>+VLOOKUP(A737,'[1]Reporte Canjes Meals'!$A:$K,10,0)</f>
        <v>2</v>
      </c>
      <c r="F737" s="3">
        <f t="shared" si="22"/>
        <v>0.5</v>
      </c>
      <c r="G737" s="3">
        <f t="shared" si="23"/>
        <v>2</v>
      </c>
    </row>
    <row r="738" spans="1:7" x14ac:dyDescent="0.25">
      <c r="A738" s="3">
        <v>14462400</v>
      </c>
      <c r="B738" s="3">
        <v>0.29699999999999999</v>
      </c>
      <c r="C738" s="3">
        <v>16</v>
      </c>
      <c r="D738" s="3">
        <v>4</v>
      </c>
      <c r="E738" s="3">
        <f>+VLOOKUP(A738,'[1]Reporte Canjes Meals'!$A:$K,10,0)</f>
        <v>24</v>
      </c>
      <c r="F738" s="3">
        <f t="shared" si="22"/>
        <v>6</v>
      </c>
      <c r="G738" s="3">
        <f t="shared" si="23"/>
        <v>-2</v>
      </c>
    </row>
    <row r="739" spans="1:7" x14ac:dyDescent="0.25">
      <c r="A739" s="3">
        <v>14462421</v>
      </c>
      <c r="B739" s="3">
        <v>0.20399999999999999</v>
      </c>
      <c r="C739" s="3">
        <v>11</v>
      </c>
      <c r="D739" s="3">
        <v>2.75</v>
      </c>
      <c r="E739" s="3">
        <f>+VLOOKUP(A739,'[1]Reporte Canjes Meals'!$A:$K,10,0)</f>
        <v>7</v>
      </c>
      <c r="F739" s="3">
        <f t="shared" si="22"/>
        <v>1.75</v>
      </c>
      <c r="G739" s="3">
        <f t="shared" si="23"/>
        <v>1</v>
      </c>
    </row>
    <row r="740" spans="1:7" x14ac:dyDescent="0.25">
      <c r="A740" s="3">
        <v>14462620</v>
      </c>
      <c r="B740" s="3">
        <v>0.224</v>
      </c>
      <c r="C740" s="3">
        <v>12</v>
      </c>
      <c r="D740" s="3">
        <v>3</v>
      </c>
      <c r="E740" s="3">
        <f>+VLOOKUP(A740,'[1]Reporte Canjes Meals'!$A:$K,10,0)</f>
        <v>0</v>
      </c>
      <c r="F740" s="3">
        <f t="shared" si="22"/>
        <v>0</v>
      </c>
      <c r="G740" s="3">
        <f t="shared" si="23"/>
        <v>3</v>
      </c>
    </row>
    <row r="741" spans="1:7" x14ac:dyDescent="0.25">
      <c r="A741" s="3">
        <v>14462764</v>
      </c>
      <c r="B741" s="3">
        <v>9.2999999999999999E-2</v>
      </c>
      <c r="C741" s="3">
        <v>5</v>
      </c>
      <c r="D741" s="3">
        <v>1.25</v>
      </c>
      <c r="E741" s="3">
        <f>+VLOOKUP(A741,'[1]Reporte Canjes Meals'!$A:$K,10,0)</f>
        <v>4</v>
      </c>
      <c r="F741" s="3">
        <f t="shared" si="22"/>
        <v>1</v>
      </c>
      <c r="G741" s="3">
        <f t="shared" si="23"/>
        <v>0.25</v>
      </c>
    </row>
    <row r="742" spans="1:7" x14ac:dyDescent="0.25">
      <c r="A742" s="3">
        <v>14463164</v>
      </c>
      <c r="B742" s="3">
        <v>5.6000000000000001E-2</v>
      </c>
      <c r="C742" s="3">
        <v>3</v>
      </c>
      <c r="D742" s="3">
        <v>0.75</v>
      </c>
      <c r="E742" s="3">
        <f>+VLOOKUP(A742,'[1]Reporte Canjes Meals'!$A:$K,10,0)</f>
        <v>0</v>
      </c>
      <c r="F742" s="3">
        <f t="shared" si="22"/>
        <v>0</v>
      </c>
      <c r="G742" s="3">
        <f t="shared" si="23"/>
        <v>0.75</v>
      </c>
    </row>
    <row r="743" spans="1:7" x14ac:dyDescent="0.25">
      <c r="A743" s="3">
        <v>14463213</v>
      </c>
      <c r="B743" s="3">
        <v>5.6000000000000001E-2</v>
      </c>
      <c r="C743" s="3">
        <v>3</v>
      </c>
      <c r="D743" s="3">
        <v>0.75</v>
      </c>
      <c r="E743" s="3">
        <f>+VLOOKUP(A743,'[1]Reporte Canjes Meals'!$A:$K,10,0)</f>
        <v>0</v>
      </c>
      <c r="F743" s="3">
        <f t="shared" si="22"/>
        <v>0</v>
      </c>
      <c r="G743" s="3">
        <f t="shared" si="23"/>
        <v>0.75</v>
      </c>
    </row>
    <row r="744" spans="1:7" x14ac:dyDescent="0.25">
      <c r="A744" s="3">
        <v>14463256</v>
      </c>
      <c r="B744" s="3">
        <v>0.24099999999999999</v>
      </c>
      <c r="C744" s="3">
        <v>13</v>
      </c>
      <c r="D744" s="3">
        <v>3.25</v>
      </c>
      <c r="E744" s="3">
        <f>+VLOOKUP(A744,'[1]Reporte Canjes Meals'!$A:$K,10,0)</f>
        <v>2</v>
      </c>
      <c r="F744" s="3">
        <f t="shared" si="22"/>
        <v>0.5</v>
      </c>
      <c r="G744" s="3">
        <f t="shared" si="23"/>
        <v>2.75</v>
      </c>
    </row>
    <row r="745" spans="1:7" x14ac:dyDescent="0.25">
      <c r="A745" s="3">
        <v>14473047</v>
      </c>
      <c r="B745" s="3">
        <v>1.9E-2</v>
      </c>
      <c r="C745" s="3">
        <v>1</v>
      </c>
      <c r="D745" s="3">
        <v>0.25</v>
      </c>
      <c r="E745" s="3">
        <f>+VLOOKUP(A745,'[1]Reporte Canjes Meals'!$A:$K,10,0)</f>
        <v>1</v>
      </c>
      <c r="F745" s="3">
        <f t="shared" si="22"/>
        <v>0.25</v>
      </c>
      <c r="G745" s="3">
        <f t="shared" si="23"/>
        <v>0</v>
      </c>
    </row>
    <row r="746" spans="1:7" x14ac:dyDescent="0.25">
      <c r="A746" s="3">
        <v>14473061</v>
      </c>
      <c r="B746" s="3">
        <v>0.14799999999999999</v>
      </c>
      <c r="C746" s="3">
        <v>8</v>
      </c>
      <c r="D746" s="3">
        <v>2</v>
      </c>
      <c r="E746" s="3">
        <f>+VLOOKUP(A746,'[1]Reporte Canjes Meals'!$A:$K,10,0)</f>
        <v>0</v>
      </c>
      <c r="F746" s="3">
        <f t="shared" si="22"/>
        <v>0</v>
      </c>
      <c r="G746" s="3">
        <f t="shared" si="23"/>
        <v>2</v>
      </c>
    </row>
    <row r="747" spans="1:7" x14ac:dyDescent="0.25">
      <c r="A747" s="3">
        <v>14480836</v>
      </c>
      <c r="B747" s="3">
        <v>0.27900000000000003</v>
      </c>
      <c r="C747" s="3">
        <v>15</v>
      </c>
      <c r="D747" s="3">
        <v>3.75</v>
      </c>
      <c r="E747" s="3">
        <f>+VLOOKUP(A747,'[1]Reporte Canjes Meals'!$A:$K,10,0)</f>
        <v>5</v>
      </c>
      <c r="F747" s="3">
        <f t="shared" si="22"/>
        <v>1.25</v>
      </c>
      <c r="G747" s="3">
        <f t="shared" si="23"/>
        <v>2.5</v>
      </c>
    </row>
    <row r="748" spans="1:7" x14ac:dyDescent="0.25">
      <c r="A748" s="3">
        <v>14482734</v>
      </c>
      <c r="B748" s="3">
        <v>7.3999999999999996E-2</v>
      </c>
      <c r="C748" s="3">
        <v>4</v>
      </c>
      <c r="D748" s="3">
        <v>1</v>
      </c>
      <c r="E748" s="3">
        <f>+VLOOKUP(A748,'[1]Reporte Canjes Meals'!$A:$K,10,0)</f>
        <v>2</v>
      </c>
      <c r="F748" s="3">
        <f t="shared" si="22"/>
        <v>0.5</v>
      </c>
      <c r="G748" s="3">
        <f t="shared" si="23"/>
        <v>0.5</v>
      </c>
    </row>
    <row r="749" spans="1:7" x14ac:dyDescent="0.25">
      <c r="A749" s="3">
        <v>14482744</v>
      </c>
      <c r="B749" s="3">
        <v>0.14899999999999999</v>
      </c>
      <c r="C749" s="3">
        <v>8</v>
      </c>
      <c r="D749" s="3">
        <v>2</v>
      </c>
      <c r="E749" s="3">
        <f>+VLOOKUP(A749,'[1]Reporte Canjes Meals'!$A:$K,10,0)</f>
        <v>0</v>
      </c>
      <c r="F749" s="3">
        <f t="shared" si="22"/>
        <v>0</v>
      </c>
      <c r="G749" s="3">
        <f t="shared" si="23"/>
        <v>2</v>
      </c>
    </row>
    <row r="750" spans="1:7" x14ac:dyDescent="0.25">
      <c r="A750" s="3">
        <v>14484801</v>
      </c>
      <c r="B750" s="3">
        <v>0.223</v>
      </c>
      <c r="C750" s="3">
        <v>12</v>
      </c>
      <c r="D750" s="3">
        <v>3</v>
      </c>
      <c r="E750" s="3">
        <f>+VLOOKUP(A750,'[1]Reporte Canjes Meals'!$A:$K,10,0)</f>
        <v>8</v>
      </c>
      <c r="F750" s="3">
        <f t="shared" si="22"/>
        <v>2</v>
      </c>
      <c r="G750" s="3">
        <f t="shared" si="23"/>
        <v>1</v>
      </c>
    </row>
    <row r="751" spans="1:7" x14ac:dyDescent="0.25">
      <c r="A751" s="3">
        <v>14488045</v>
      </c>
      <c r="B751" s="3">
        <v>0.112</v>
      </c>
      <c r="C751" s="3">
        <v>6</v>
      </c>
      <c r="D751" s="3">
        <v>1.5</v>
      </c>
      <c r="E751" s="3">
        <f>+VLOOKUP(A751,'[1]Reporte Canjes Meals'!$A:$K,10,0)</f>
        <v>0</v>
      </c>
      <c r="F751" s="3">
        <f t="shared" si="22"/>
        <v>0</v>
      </c>
      <c r="G751" s="3">
        <f t="shared" si="23"/>
        <v>1.5</v>
      </c>
    </row>
    <row r="752" spans="1:7" x14ac:dyDescent="0.25">
      <c r="A752" s="3">
        <v>14488311</v>
      </c>
      <c r="B752" s="3">
        <v>0.317</v>
      </c>
      <c r="C752" s="3">
        <v>17</v>
      </c>
      <c r="D752" s="3">
        <v>4.25</v>
      </c>
      <c r="E752" s="3">
        <f>+VLOOKUP(A752,'[1]Reporte Canjes Meals'!$A:$K,10,0)</f>
        <v>11</v>
      </c>
      <c r="F752" s="3">
        <f t="shared" si="22"/>
        <v>2.75</v>
      </c>
      <c r="G752" s="3">
        <f t="shared" si="23"/>
        <v>1.5</v>
      </c>
    </row>
    <row r="753" spans="1:7" x14ac:dyDescent="0.25">
      <c r="A753" s="2">
        <v>14490836</v>
      </c>
      <c r="B753" s="3">
        <v>7.3999999999999996E-2</v>
      </c>
      <c r="C753" s="3">
        <v>4</v>
      </c>
      <c r="D753" s="3">
        <v>1</v>
      </c>
      <c r="E753" s="3">
        <f>+VLOOKUP(A753,'[1]Reporte Canjes Meals'!$A:$K,10,0)</f>
        <v>0</v>
      </c>
      <c r="F753" s="3">
        <f t="shared" si="22"/>
        <v>0</v>
      </c>
      <c r="G753" s="3">
        <f t="shared" si="23"/>
        <v>1</v>
      </c>
    </row>
    <row r="754" spans="1:7" x14ac:dyDescent="0.25">
      <c r="A754" s="3">
        <v>14490851</v>
      </c>
      <c r="B754" s="3">
        <v>0.39100000000000001</v>
      </c>
      <c r="C754" s="3">
        <v>21</v>
      </c>
      <c r="D754" s="3">
        <v>5.25</v>
      </c>
      <c r="E754" s="3">
        <f>+VLOOKUP(A754,'[1]Reporte Canjes Meals'!$A:$K,10,0)</f>
        <v>0</v>
      </c>
      <c r="F754" s="3">
        <f t="shared" si="22"/>
        <v>0</v>
      </c>
      <c r="G754" s="3">
        <f t="shared" si="23"/>
        <v>5.25</v>
      </c>
    </row>
    <row r="755" spans="1:7" x14ac:dyDescent="0.25">
      <c r="A755" s="3">
        <v>14491093</v>
      </c>
      <c r="B755" s="3">
        <v>1.9E-2</v>
      </c>
      <c r="C755" s="3">
        <v>1</v>
      </c>
      <c r="D755" s="3">
        <v>0.25</v>
      </c>
      <c r="E755" s="3">
        <f>+VLOOKUP(A755,'[1]Reporte Canjes Meals'!$A:$K,10,0)</f>
        <v>0</v>
      </c>
      <c r="F755" s="3">
        <f t="shared" si="22"/>
        <v>0</v>
      </c>
      <c r="G755" s="3">
        <f t="shared" si="23"/>
        <v>0.25</v>
      </c>
    </row>
  </sheetData>
  <autoFilter ref="A1:G755" xr:uid="{00000000-0001-0000-0000-000000000000}"/>
  <pageMargins left="0.7" right="0.7" top="0.75" bottom="0.75" header="0.3" footer="0.3"/>
  <ignoredErrors>
    <ignoredError sqref="A1:C1 B754:D755 B753:D753 B10:D752 B2:D2 B3:D3 B4:D4 B5:D5 B6:D6 B7:D7 B8:D8 B9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OLIVA</dc:creator>
  <cp:lastModifiedBy>Mauricio Alvarez</cp:lastModifiedBy>
  <dcterms:created xsi:type="dcterms:W3CDTF">2026-07-01T19:22:13Z</dcterms:created>
  <dcterms:modified xsi:type="dcterms:W3CDTF">2026-07-02T19:48:08Z</dcterms:modified>
</cp:coreProperties>
</file>